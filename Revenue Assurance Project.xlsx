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D:\KIMAIYO\Airline Roles\Emirates\Accountants - Passenger Sales, Refunds and Revenue Assurance-Emirates\"/>
    </mc:Choice>
  </mc:AlternateContent>
  <xr:revisionPtr revIDLastSave="0" documentId="13_ncr:1_{E7832DAA-DAD2-4D09-BBE3-AA124C7A137F}" xr6:coauthVersionLast="47" xr6:coauthVersionMax="47" xr10:uidLastSave="{00000000-0000-0000-0000-000000000000}"/>
  <bookViews>
    <workbookView xWindow="-110" yWindow="-110" windowWidth="19420" windowHeight="11500" tabRatio="936" activeTab="6" xr2:uid="{00000000-000D-0000-FFFF-FFFF00000000}"/>
  </bookViews>
  <sheets>
    <sheet name="Dashboard" sheetId="1" r:id="rId1"/>
    <sheet name="Refunds Compliance Dashboard" sheetId="9" r:id="rId2"/>
    <sheet name="ADM_History" sheetId="6" r:id="rId3"/>
    <sheet name="Bank_Receipts" sheetId="5" r:id="rId4"/>
    <sheet name="Fare_Rules" sheetId="4" r:id="rId5"/>
    <sheet name="Refunds" sheetId="3" r:id="rId6"/>
    <sheet name="Tickets_Sold" sheetId="2" r:id="rId7"/>
  </sheets>
  <definedNames>
    <definedName name="ExternalData_1" localSheetId="1" hidden="1">'Refunds Compliance Dashboard'!$A$1:$L$122</definedName>
    <definedName name="ExternalData_1" localSheetId="6" hidden="1">Tickets_Sold!$A$1:$I$501</definedName>
    <definedName name="ExternalData_2" localSheetId="5" hidden="1">'Refunds'!$A$1:$M$122</definedName>
    <definedName name="ExternalData_3" localSheetId="4" hidden="1">Fare_Rules!$A$1:$E$25</definedName>
    <definedName name="ExternalData_4" localSheetId="3" hidden="1">Bank_Receipts!$A$1:$E$501</definedName>
    <definedName name="ExternalData_5" localSheetId="2" hidden="1">ADM_History!$A$1:$F$101</definedName>
  </definedNames>
  <calcPr calcId="191029"/>
  <pivotCaches>
    <pivotCache cacheId="4" r:id="rId8"/>
    <pivotCache cacheId="9" r:id="rId9"/>
    <pivotCache cacheId="13" r:id="rId10"/>
    <pivotCache cacheId="21" r:id="rId11"/>
    <pivotCache cacheId="48" r:id="rId12"/>
    <pivotCache cacheId="5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O14" i="9"/>
  <c r="O21" i="9"/>
  <c r="O22" i="9"/>
  <c r="O23" i="9"/>
  <c r="O25" i="9"/>
  <c r="O26" i="9"/>
  <c r="O33" i="9"/>
  <c r="O34" i="9"/>
  <c r="O35" i="9"/>
  <c r="O37" i="9"/>
  <c r="O38" i="9"/>
  <c r="O45" i="9"/>
  <c r="O46" i="9"/>
  <c r="O47" i="9"/>
  <c r="O49" i="9"/>
  <c r="O50" i="9"/>
  <c r="O57" i="9"/>
  <c r="O58" i="9"/>
  <c r="O59" i="9"/>
  <c r="O61" i="9"/>
  <c r="O62" i="9"/>
  <c r="O69" i="9"/>
  <c r="O70" i="9"/>
  <c r="O71" i="9"/>
  <c r="O73" i="9"/>
  <c r="O74" i="9"/>
  <c r="O81" i="9"/>
  <c r="O82" i="9"/>
  <c r="O83" i="9"/>
  <c r="O85" i="9"/>
  <c r="O86" i="9"/>
  <c r="O93" i="9"/>
  <c r="O94" i="9"/>
  <c r="O95" i="9"/>
  <c r="O97" i="9"/>
  <c r="O98" i="9"/>
  <c r="O105" i="9"/>
  <c r="O106" i="9"/>
  <c r="O107" i="9"/>
  <c r="O109" i="9"/>
  <c r="O110" i="9"/>
  <c r="O117" i="9"/>
  <c r="O118" i="9"/>
  <c r="O119" i="9"/>
  <c r="O121" i="9"/>
  <c r="O122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M2" i="9"/>
  <c r="O2" i="9" s="1"/>
  <c r="M3" i="9"/>
  <c r="O3" i="9" s="1"/>
  <c r="M4" i="9"/>
  <c r="O4" i="9" s="1"/>
  <c r="M5" i="9"/>
  <c r="O5" i="9" s="1"/>
  <c r="M6" i="9"/>
  <c r="O6" i="9" s="1"/>
  <c r="M7" i="9"/>
  <c r="O7" i="9" s="1"/>
  <c r="M8" i="9"/>
  <c r="O8" i="9" s="1"/>
  <c r="M9" i="9"/>
  <c r="O9" i="9" s="1"/>
  <c r="M10" i="9"/>
  <c r="O10" i="9" s="1"/>
  <c r="M11" i="9"/>
  <c r="O11" i="9" s="1"/>
  <c r="M12" i="9"/>
  <c r="O12" i="9" s="1"/>
  <c r="M13" i="9"/>
  <c r="O13" i="9" s="1"/>
  <c r="M14" i="9"/>
  <c r="M15" i="9"/>
  <c r="O15" i="9" s="1"/>
  <c r="M16" i="9"/>
  <c r="O16" i="9" s="1"/>
  <c r="M17" i="9"/>
  <c r="O17" i="9" s="1"/>
  <c r="M18" i="9"/>
  <c r="O18" i="9" s="1"/>
  <c r="M19" i="9"/>
  <c r="O19" i="9" s="1"/>
  <c r="M20" i="9"/>
  <c r="O20" i="9" s="1"/>
  <c r="M21" i="9"/>
  <c r="M22" i="9"/>
  <c r="M23" i="9"/>
  <c r="M24" i="9"/>
  <c r="O24" i="9" s="1"/>
  <c r="M25" i="9"/>
  <c r="M26" i="9"/>
  <c r="M27" i="9"/>
  <c r="O27" i="9" s="1"/>
  <c r="M28" i="9"/>
  <c r="O28" i="9" s="1"/>
  <c r="M29" i="9"/>
  <c r="O29" i="9" s="1"/>
  <c r="M30" i="9"/>
  <c r="O30" i="9" s="1"/>
  <c r="M31" i="9"/>
  <c r="O31" i="9" s="1"/>
  <c r="M32" i="9"/>
  <c r="O32" i="9" s="1"/>
  <c r="M33" i="9"/>
  <c r="M34" i="9"/>
  <c r="M35" i="9"/>
  <c r="M36" i="9"/>
  <c r="O36" i="9" s="1"/>
  <c r="M37" i="9"/>
  <c r="M38" i="9"/>
  <c r="M39" i="9"/>
  <c r="O39" i="9" s="1"/>
  <c r="M40" i="9"/>
  <c r="O40" i="9" s="1"/>
  <c r="M41" i="9"/>
  <c r="O41" i="9" s="1"/>
  <c r="M42" i="9"/>
  <c r="O42" i="9" s="1"/>
  <c r="M43" i="9"/>
  <c r="O43" i="9" s="1"/>
  <c r="M44" i="9"/>
  <c r="O44" i="9" s="1"/>
  <c r="M45" i="9"/>
  <c r="M46" i="9"/>
  <c r="M47" i="9"/>
  <c r="M48" i="9"/>
  <c r="O48" i="9" s="1"/>
  <c r="M49" i="9"/>
  <c r="M50" i="9"/>
  <c r="M51" i="9"/>
  <c r="O51" i="9" s="1"/>
  <c r="M52" i="9"/>
  <c r="O52" i="9" s="1"/>
  <c r="M53" i="9"/>
  <c r="O53" i="9" s="1"/>
  <c r="M54" i="9"/>
  <c r="O54" i="9" s="1"/>
  <c r="M55" i="9"/>
  <c r="O55" i="9" s="1"/>
  <c r="M56" i="9"/>
  <c r="O56" i="9" s="1"/>
  <c r="M57" i="9"/>
  <c r="M58" i="9"/>
  <c r="M59" i="9"/>
  <c r="M60" i="9"/>
  <c r="O60" i="9" s="1"/>
  <c r="M61" i="9"/>
  <c r="M62" i="9"/>
  <c r="M63" i="9"/>
  <c r="O63" i="9" s="1"/>
  <c r="M64" i="9"/>
  <c r="O64" i="9" s="1"/>
  <c r="M65" i="9"/>
  <c r="O65" i="9" s="1"/>
  <c r="M66" i="9"/>
  <c r="O66" i="9" s="1"/>
  <c r="M67" i="9"/>
  <c r="O67" i="9" s="1"/>
  <c r="M68" i="9"/>
  <c r="O68" i="9" s="1"/>
  <c r="M69" i="9"/>
  <c r="M70" i="9"/>
  <c r="M71" i="9"/>
  <c r="M72" i="9"/>
  <c r="O72" i="9" s="1"/>
  <c r="M73" i="9"/>
  <c r="M74" i="9"/>
  <c r="M75" i="9"/>
  <c r="O75" i="9" s="1"/>
  <c r="M76" i="9"/>
  <c r="O76" i="9" s="1"/>
  <c r="M77" i="9"/>
  <c r="O77" i="9" s="1"/>
  <c r="M78" i="9"/>
  <c r="O78" i="9" s="1"/>
  <c r="M79" i="9"/>
  <c r="O79" i="9" s="1"/>
  <c r="M80" i="9"/>
  <c r="O80" i="9" s="1"/>
  <c r="M81" i="9"/>
  <c r="M82" i="9"/>
  <c r="M83" i="9"/>
  <c r="M84" i="9"/>
  <c r="O84" i="9" s="1"/>
  <c r="M85" i="9"/>
  <c r="M86" i="9"/>
  <c r="M87" i="9"/>
  <c r="O87" i="9" s="1"/>
  <c r="M88" i="9"/>
  <c r="O88" i="9" s="1"/>
  <c r="M89" i="9"/>
  <c r="O89" i="9" s="1"/>
  <c r="M90" i="9"/>
  <c r="O90" i="9" s="1"/>
  <c r="M91" i="9"/>
  <c r="O91" i="9" s="1"/>
  <c r="M92" i="9"/>
  <c r="O92" i="9" s="1"/>
  <c r="M93" i="9"/>
  <c r="M94" i="9"/>
  <c r="M95" i="9"/>
  <c r="M96" i="9"/>
  <c r="O96" i="9" s="1"/>
  <c r="M97" i="9"/>
  <c r="M98" i="9"/>
  <c r="M99" i="9"/>
  <c r="O99" i="9" s="1"/>
  <c r="M100" i="9"/>
  <c r="O100" i="9" s="1"/>
  <c r="M101" i="9"/>
  <c r="O101" i="9" s="1"/>
  <c r="M102" i="9"/>
  <c r="O102" i="9" s="1"/>
  <c r="M103" i="9"/>
  <c r="O103" i="9" s="1"/>
  <c r="M104" i="9"/>
  <c r="O104" i="9" s="1"/>
  <c r="M105" i="9"/>
  <c r="M106" i="9"/>
  <c r="M107" i="9"/>
  <c r="M108" i="9"/>
  <c r="O108" i="9" s="1"/>
  <c r="M109" i="9"/>
  <c r="M110" i="9"/>
  <c r="M111" i="9"/>
  <c r="O111" i="9" s="1"/>
  <c r="M112" i="9"/>
  <c r="O112" i="9" s="1"/>
  <c r="M113" i="9"/>
  <c r="O113" i="9" s="1"/>
  <c r="M114" i="9"/>
  <c r="O114" i="9" s="1"/>
  <c r="M115" i="9"/>
  <c r="O115" i="9" s="1"/>
  <c r="M116" i="9"/>
  <c r="O116" i="9" s="1"/>
  <c r="M117" i="9"/>
  <c r="M118" i="9"/>
  <c r="M119" i="9"/>
  <c r="M120" i="9"/>
  <c r="O120" i="9" s="1"/>
  <c r="M121" i="9"/>
  <c r="M12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144716-53C6-4B4C-B5F5-9B1E42B10E25}" keepAlive="1" name="Query - ADM_History" description="Connection to the 'ADM_History' query in the workbook." type="5" refreshedVersion="8" background="1" saveData="1">
    <dbPr connection="Provider=Microsoft.Mashup.OleDb.1;Data Source=$Workbook$;Location=ADM_History;Extended Properties=&quot;&quot;" command="SELECT * FROM [ADM_History]"/>
  </connection>
  <connection id="2" xr16:uid="{FEC0C081-B18A-4A7D-A65F-DDE880E839EA}" keepAlive="1" name="Query - Bank_Receipts" description="Connection to the 'Bank_Receipts' query in the workbook." type="5" refreshedVersion="8" background="1" saveData="1">
    <dbPr connection="Provider=Microsoft.Mashup.OleDb.1;Data Source=$Workbook$;Location=Bank_Receipts;Extended Properties=&quot;&quot;" command="SELECT * FROM [Bank_Receipts]"/>
  </connection>
  <connection id="3" xr16:uid="{7D036F27-EE2F-4960-8DC8-219211FDDC84}" keepAlive="1" name="Query - Fare_Rules" description="Connection to the 'Fare_Rules' query in the workbook." type="5" refreshedVersion="8" background="1" saveData="1">
    <dbPr connection="Provider=Microsoft.Mashup.OleDb.1;Data Source=$Workbook$;Location=Fare_Rules;Extended Properties=&quot;&quot;" command="SELECT * FROM [Fare_Rules]"/>
  </connection>
  <connection id="4" xr16:uid="{109E6847-EFB2-42A4-A407-D7672E851C90}" keepAlive="1" name="Query - Refund Compliance" description="Connection to the 'Refund Compliance' query in the workbook." type="5" refreshedVersion="8" background="1" saveData="1">
    <dbPr connection="Provider=Microsoft.Mashup.OleDb.1;Data Source=$Workbook$;Location=&quot;Refund Compliance&quot;;Extended Properties=&quot;&quot;" command="SELECT * FROM [Refund Compliance]"/>
  </connection>
  <connection id="5" xr16:uid="{B11BADC8-5988-4015-85A1-E63E3CE5FA35}" keepAlive="1" name="Query - Refunds" description="Connection to the 'Refunds' query in the workbook." type="5" refreshedVersion="8" background="1" saveData="1">
    <dbPr connection="Provider=Microsoft.Mashup.OleDb.1;Data Source=$Workbook$;Location=Refunds;Extended Properties=&quot;&quot;" command="SELECT * FROM [Refunds]"/>
  </connection>
  <connection id="6" xr16:uid="{E4ECCF49-5760-43D9-BED8-D78C273B65C6}" keepAlive="1" name="Query - Tickets_Sold" description="Connection to the 'Tickets_Sold' query in the workbook." type="5" refreshedVersion="8" background="1" saveData="1">
    <dbPr connection="Provider=Microsoft.Mashup.OleDb.1;Data Source=$Workbook$;Location=Tickets_Sold;Extended Properties=&quot;&quot;" command="SELECT * FROM [Tickets_Sold]"/>
  </connection>
</connections>
</file>

<file path=xl/sharedStrings.xml><?xml version="1.0" encoding="utf-8"?>
<sst xmlns="http://schemas.openxmlformats.org/spreadsheetml/2006/main" count="7021" uniqueCount="1104">
  <si>
    <t>TicketNumber</t>
  </si>
  <si>
    <t>Route</t>
  </si>
  <si>
    <t>Class</t>
  </si>
  <si>
    <t>PassengerType</t>
  </si>
  <si>
    <t>FareCharged</t>
  </si>
  <si>
    <t>Taxes</t>
  </si>
  <si>
    <t>Currency</t>
  </si>
  <si>
    <t>AgentCode</t>
  </si>
  <si>
    <t>SaleDate</t>
  </si>
  <si>
    <t>176-10000000</t>
  </si>
  <si>
    <t>DXB-MAA</t>
  </si>
  <si>
    <t>Y</t>
  </si>
  <si>
    <t>ADT</t>
  </si>
  <si>
    <t>USD</t>
  </si>
  <si>
    <t>AGT005</t>
  </si>
  <si>
    <t>176-10000001</t>
  </si>
  <si>
    <t>DXB-CGK</t>
  </si>
  <si>
    <t>M</t>
  </si>
  <si>
    <t>AGT004</t>
  </si>
  <si>
    <t>176-10000002</t>
  </si>
  <si>
    <t>DXB-JFK</t>
  </si>
  <si>
    <t>CHD</t>
  </si>
  <si>
    <t>176-10000003</t>
  </si>
  <si>
    <t>AGT003</t>
  </si>
  <si>
    <t>176-10000004</t>
  </si>
  <si>
    <t>C</t>
  </si>
  <si>
    <t>176-10000005</t>
  </si>
  <si>
    <t>DXB-LHR</t>
  </si>
  <si>
    <t>176-10000006</t>
  </si>
  <si>
    <t>176-10000007</t>
  </si>
  <si>
    <t>176-10000008</t>
  </si>
  <si>
    <t>176-10000009</t>
  </si>
  <si>
    <t>F</t>
  </si>
  <si>
    <t>AGT002</t>
  </si>
  <si>
    <t>176-10000010</t>
  </si>
  <si>
    <t>176-10000011</t>
  </si>
  <si>
    <t>176-10000012</t>
  </si>
  <si>
    <t>DXB-BOM</t>
  </si>
  <si>
    <t>176-10000013</t>
  </si>
  <si>
    <t>176-10000014</t>
  </si>
  <si>
    <t>176-10000015</t>
  </si>
  <si>
    <t>176-10000016</t>
  </si>
  <si>
    <t>AGT001</t>
  </si>
  <si>
    <t>176-10000017</t>
  </si>
  <si>
    <t>176-10000018</t>
  </si>
  <si>
    <t>176-10000019</t>
  </si>
  <si>
    <t>176-10000020</t>
  </si>
  <si>
    <t>176-10000021</t>
  </si>
  <si>
    <t>DXB-NBO</t>
  </si>
  <si>
    <t>176-10000022</t>
  </si>
  <si>
    <t>176-10000023</t>
  </si>
  <si>
    <t>INF</t>
  </si>
  <si>
    <t>176-10000024</t>
  </si>
  <si>
    <t>176-10000025</t>
  </si>
  <si>
    <t>176-10000026</t>
  </si>
  <si>
    <t>176-10000027</t>
  </si>
  <si>
    <t>176-10000028</t>
  </si>
  <si>
    <t>176-10000029</t>
  </si>
  <si>
    <t>176-10000030</t>
  </si>
  <si>
    <t>176-10000031</t>
  </si>
  <si>
    <t>176-10000032</t>
  </si>
  <si>
    <t>176-10000033</t>
  </si>
  <si>
    <t>176-10000034</t>
  </si>
  <si>
    <t>176-10000035</t>
  </si>
  <si>
    <t>176-10000036</t>
  </si>
  <si>
    <t>176-10000037</t>
  </si>
  <si>
    <t>176-10000038</t>
  </si>
  <si>
    <t>176-10000039</t>
  </si>
  <si>
    <t>176-10000040</t>
  </si>
  <si>
    <t>176-10000041</t>
  </si>
  <si>
    <t>176-10000042</t>
  </si>
  <si>
    <t>176-10000043</t>
  </si>
  <si>
    <t>176-10000044</t>
  </si>
  <si>
    <t>176-10000045</t>
  </si>
  <si>
    <t>176-10000046</t>
  </si>
  <si>
    <t>176-10000047</t>
  </si>
  <si>
    <t>176-10000048</t>
  </si>
  <si>
    <t>176-10000049</t>
  </si>
  <si>
    <t>176-10000050</t>
  </si>
  <si>
    <t>176-10000051</t>
  </si>
  <si>
    <t>176-10000052</t>
  </si>
  <si>
    <t>176-10000053</t>
  </si>
  <si>
    <t>176-10000054</t>
  </si>
  <si>
    <t>176-10000055</t>
  </si>
  <si>
    <t>176-10000056</t>
  </si>
  <si>
    <t>176-10000057</t>
  </si>
  <si>
    <t>176-10000058</t>
  </si>
  <si>
    <t>176-10000059</t>
  </si>
  <si>
    <t>176-10000060</t>
  </si>
  <si>
    <t>176-10000061</t>
  </si>
  <si>
    <t>176-10000062</t>
  </si>
  <si>
    <t>176-10000063</t>
  </si>
  <si>
    <t>176-10000064</t>
  </si>
  <si>
    <t>176-10000065</t>
  </si>
  <si>
    <t>176-10000066</t>
  </si>
  <si>
    <t>176-10000067</t>
  </si>
  <si>
    <t>176-10000068</t>
  </si>
  <si>
    <t>176-10000069</t>
  </si>
  <si>
    <t>176-10000070</t>
  </si>
  <si>
    <t>176-10000071</t>
  </si>
  <si>
    <t>176-10000072</t>
  </si>
  <si>
    <t>176-10000073</t>
  </si>
  <si>
    <t>176-10000074</t>
  </si>
  <si>
    <t>176-10000075</t>
  </si>
  <si>
    <t>176-10000076</t>
  </si>
  <si>
    <t>176-10000077</t>
  </si>
  <si>
    <t>176-10000078</t>
  </si>
  <si>
    <t>176-10000079</t>
  </si>
  <si>
    <t>176-10000080</t>
  </si>
  <si>
    <t>176-10000081</t>
  </si>
  <si>
    <t>176-10000082</t>
  </si>
  <si>
    <t>176-10000083</t>
  </si>
  <si>
    <t>176-10000084</t>
  </si>
  <si>
    <t>176-10000085</t>
  </si>
  <si>
    <t>176-10000086</t>
  </si>
  <si>
    <t>176-10000087</t>
  </si>
  <si>
    <t>176-10000088</t>
  </si>
  <si>
    <t>176-10000089</t>
  </si>
  <si>
    <t>176-10000090</t>
  </si>
  <si>
    <t>176-10000091</t>
  </si>
  <si>
    <t>176-10000092</t>
  </si>
  <si>
    <t>176-10000093</t>
  </si>
  <si>
    <t>176-10000094</t>
  </si>
  <si>
    <t>176-10000095</t>
  </si>
  <si>
    <t>176-10000096</t>
  </si>
  <si>
    <t>176-10000097</t>
  </si>
  <si>
    <t>176-10000098</t>
  </si>
  <si>
    <t>176-10000099</t>
  </si>
  <si>
    <t>176-10000100</t>
  </si>
  <si>
    <t>176-10000101</t>
  </si>
  <si>
    <t>176-10000102</t>
  </si>
  <si>
    <t>176-10000103</t>
  </si>
  <si>
    <t>176-10000104</t>
  </si>
  <si>
    <t>176-10000105</t>
  </si>
  <si>
    <t>176-10000106</t>
  </si>
  <si>
    <t>176-10000107</t>
  </si>
  <si>
    <t>176-10000108</t>
  </si>
  <si>
    <t>176-10000109</t>
  </si>
  <si>
    <t>176-10000110</t>
  </si>
  <si>
    <t>176-10000111</t>
  </si>
  <si>
    <t>176-10000112</t>
  </si>
  <si>
    <t>176-10000113</t>
  </si>
  <si>
    <t>176-10000114</t>
  </si>
  <si>
    <t>176-10000115</t>
  </si>
  <si>
    <t>176-10000116</t>
  </si>
  <si>
    <t>176-10000117</t>
  </si>
  <si>
    <t>176-10000118</t>
  </si>
  <si>
    <t>176-10000119</t>
  </si>
  <si>
    <t>176-10000120</t>
  </si>
  <si>
    <t>176-10000121</t>
  </si>
  <si>
    <t>176-10000122</t>
  </si>
  <si>
    <t>176-10000123</t>
  </si>
  <si>
    <t>176-10000124</t>
  </si>
  <si>
    <t>176-10000125</t>
  </si>
  <si>
    <t>176-10000126</t>
  </si>
  <si>
    <t>176-10000127</t>
  </si>
  <si>
    <t>176-10000128</t>
  </si>
  <si>
    <t>176-10000129</t>
  </si>
  <si>
    <t>176-10000130</t>
  </si>
  <si>
    <t>176-10000131</t>
  </si>
  <si>
    <t>176-10000132</t>
  </si>
  <si>
    <t>176-10000133</t>
  </si>
  <si>
    <t>176-10000134</t>
  </si>
  <si>
    <t>176-10000135</t>
  </si>
  <si>
    <t>176-10000136</t>
  </si>
  <si>
    <t>176-10000137</t>
  </si>
  <si>
    <t>176-10000138</t>
  </si>
  <si>
    <t>176-10000139</t>
  </si>
  <si>
    <t>176-10000140</t>
  </si>
  <si>
    <t>176-10000141</t>
  </si>
  <si>
    <t>176-10000142</t>
  </si>
  <si>
    <t>176-10000143</t>
  </si>
  <si>
    <t>176-10000144</t>
  </si>
  <si>
    <t>176-10000145</t>
  </si>
  <si>
    <t>176-10000146</t>
  </si>
  <si>
    <t>176-10000147</t>
  </si>
  <si>
    <t>176-10000148</t>
  </si>
  <si>
    <t>176-10000149</t>
  </si>
  <si>
    <t>176-10000150</t>
  </si>
  <si>
    <t>176-10000151</t>
  </si>
  <si>
    <t>176-10000152</t>
  </si>
  <si>
    <t>176-10000153</t>
  </si>
  <si>
    <t>176-10000154</t>
  </si>
  <si>
    <t>176-10000155</t>
  </si>
  <si>
    <t>176-10000156</t>
  </si>
  <si>
    <t>176-10000157</t>
  </si>
  <si>
    <t>176-10000158</t>
  </si>
  <si>
    <t>176-10000159</t>
  </si>
  <si>
    <t>176-10000160</t>
  </si>
  <si>
    <t>176-10000161</t>
  </si>
  <si>
    <t>176-10000162</t>
  </si>
  <si>
    <t>176-10000163</t>
  </si>
  <si>
    <t>176-10000164</t>
  </si>
  <si>
    <t>176-10000165</t>
  </si>
  <si>
    <t>176-10000166</t>
  </si>
  <si>
    <t>176-10000167</t>
  </si>
  <si>
    <t>176-10000168</t>
  </si>
  <si>
    <t>176-10000169</t>
  </si>
  <si>
    <t>176-10000170</t>
  </si>
  <si>
    <t>176-10000171</t>
  </si>
  <si>
    <t>176-10000172</t>
  </si>
  <si>
    <t>176-10000173</t>
  </si>
  <si>
    <t>176-10000174</t>
  </si>
  <si>
    <t>176-10000175</t>
  </si>
  <si>
    <t>176-10000176</t>
  </si>
  <si>
    <t>176-10000177</t>
  </si>
  <si>
    <t>176-10000178</t>
  </si>
  <si>
    <t>176-10000179</t>
  </si>
  <si>
    <t>176-10000180</t>
  </si>
  <si>
    <t>176-10000181</t>
  </si>
  <si>
    <t>176-10000182</t>
  </si>
  <si>
    <t>176-10000183</t>
  </si>
  <si>
    <t>176-10000184</t>
  </si>
  <si>
    <t>176-10000185</t>
  </si>
  <si>
    <t>176-10000186</t>
  </si>
  <si>
    <t>176-10000187</t>
  </si>
  <si>
    <t>176-10000188</t>
  </si>
  <si>
    <t>176-10000189</t>
  </si>
  <si>
    <t>176-10000190</t>
  </si>
  <si>
    <t>176-10000191</t>
  </si>
  <si>
    <t>176-10000192</t>
  </si>
  <si>
    <t>176-10000193</t>
  </si>
  <si>
    <t>176-10000194</t>
  </si>
  <si>
    <t>176-10000195</t>
  </si>
  <si>
    <t>176-10000196</t>
  </si>
  <si>
    <t>176-10000197</t>
  </si>
  <si>
    <t>176-10000198</t>
  </si>
  <si>
    <t>176-10000199</t>
  </si>
  <si>
    <t>176-10000200</t>
  </si>
  <si>
    <t>176-10000201</t>
  </si>
  <si>
    <t>176-10000202</t>
  </si>
  <si>
    <t>176-10000203</t>
  </si>
  <si>
    <t>176-10000204</t>
  </si>
  <si>
    <t>176-10000205</t>
  </si>
  <si>
    <t>176-10000206</t>
  </si>
  <si>
    <t>176-10000207</t>
  </si>
  <si>
    <t>176-10000208</t>
  </si>
  <si>
    <t>176-10000209</t>
  </si>
  <si>
    <t>176-10000210</t>
  </si>
  <si>
    <t>176-10000211</t>
  </si>
  <si>
    <t>176-10000212</t>
  </si>
  <si>
    <t>176-10000213</t>
  </si>
  <si>
    <t>176-10000214</t>
  </si>
  <si>
    <t>176-10000215</t>
  </si>
  <si>
    <t>176-10000216</t>
  </si>
  <si>
    <t>176-10000217</t>
  </si>
  <si>
    <t>176-10000218</t>
  </si>
  <si>
    <t>176-10000219</t>
  </si>
  <si>
    <t>176-10000220</t>
  </si>
  <si>
    <t>176-10000221</t>
  </si>
  <si>
    <t>176-10000222</t>
  </si>
  <si>
    <t>176-10000223</t>
  </si>
  <si>
    <t>176-10000224</t>
  </si>
  <si>
    <t>176-10000225</t>
  </si>
  <si>
    <t>176-10000226</t>
  </si>
  <si>
    <t>176-10000227</t>
  </si>
  <si>
    <t>176-10000228</t>
  </si>
  <si>
    <t>176-10000229</t>
  </si>
  <si>
    <t>176-10000230</t>
  </si>
  <si>
    <t>176-10000231</t>
  </si>
  <si>
    <t>176-10000232</t>
  </si>
  <si>
    <t>176-10000233</t>
  </si>
  <si>
    <t>176-10000234</t>
  </si>
  <si>
    <t>176-10000235</t>
  </si>
  <si>
    <t>176-10000236</t>
  </si>
  <si>
    <t>176-10000237</t>
  </si>
  <si>
    <t>176-10000238</t>
  </si>
  <si>
    <t>176-10000239</t>
  </si>
  <si>
    <t>176-10000240</t>
  </si>
  <si>
    <t>176-10000241</t>
  </si>
  <si>
    <t>176-10000242</t>
  </si>
  <si>
    <t>176-10000243</t>
  </si>
  <si>
    <t>176-10000244</t>
  </si>
  <si>
    <t>176-10000245</t>
  </si>
  <si>
    <t>176-10000246</t>
  </si>
  <si>
    <t>176-10000247</t>
  </si>
  <si>
    <t>176-10000248</t>
  </si>
  <si>
    <t>176-10000249</t>
  </si>
  <si>
    <t>176-10000250</t>
  </si>
  <si>
    <t>176-10000251</t>
  </si>
  <si>
    <t>176-10000252</t>
  </si>
  <si>
    <t>176-10000253</t>
  </si>
  <si>
    <t>176-10000254</t>
  </si>
  <si>
    <t>176-10000255</t>
  </si>
  <si>
    <t>176-10000256</t>
  </si>
  <si>
    <t>176-10000257</t>
  </si>
  <si>
    <t>176-10000258</t>
  </si>
  <si>
    <t>176-10000259</t>
  </si>
  <si>
    <t>176-10000260</t>
  </si>
  <si>
    <t>176-10000261</t>
  </si>
  <si>
    <t>176-10000262</t>
  </si>
  <si>
    <t>176-10000263</t>
  </si>
  <si>
    <t>176-10000264</t>
  </si>
  <si>
    <t>176-10000265</t>
  </si>
  <si>
    <t>176-10000266</t>
  </si>
  <si>
    <t>176-10000267</t>
  </si>
  <si>
    <t>176-10000268</t>
  </si>
  <si>
    <t>176-10000269</t>
  </si>
  <si>
    <t>176-10000270</t>
  </si>
  <si>
    <t>176-10000271</t>
  </si>
  <si>
    <t>176-10000272</t>
  </si>
  <si>
    <t>176-10000273</t>
  </si>
  <si>
    <t>176-10000274</t>
  </si>
  <si>
    <t>176-10000275</t>
  </si>
  <si>
    <t>176-10000276</t>
  </si>
  <si>
    <t>176-10000277</t>
  </si>
  <si>
    <t>176-10000278</t>
  </si>
  <si>
    <t>176-10000279</t>
  </si>
  <si>
    <t>176-10000280</t>
  </si>
  <si>
    <t>176-10000281</t>
  </si>
  <si>
    <t>176-10000282</t>
  </si>
  <si>
    <t>176-10000283</t>
  </si>
  <si>
    <t>176-10000284</t>
  </si>
  <si>
    <t>176-10000285</t>
  </si>
  <si>
    <t>176-10000286</t>
  </si>
  <si>
    <t>176-10000287</t>
  </si>
  <si>
    <t>176-10000288</t>
  </si>
  <si>
    <t>176-10000289</t>
  </si>
  <si>
    <t>176-10000290</t>
  </si>
  <si>
    <t>176-10000291</t>
  </si>
  <si>
    <t>176-10000292</t>
  </si>
  <si>
    <t>176-10000293</t>
  </si>
  <si>
    <t>176-10000294</t>
  </si>
  <si>
    <t>176-10000295</t>
  </si>
  <si>
    <t>176-10000296</t>
  </si>
  <si>
    <t>176-10000297</t>
  </si>
  <si>
    <t>176-10000298</t>
  </si>
  <si>
    <t>176-10000299</t>
  </si>
  <si>
    <t>176-10000300</t>
  </si>
  <si>
    <t>176-10000301</t>
  </si>
  <si>
    <t>176-10000302</t>
  </si>
  <si>
    <t>176-10000303</t>
  </si>
  <si>
    <t>176-10000304</t>
  </si>
  <si>
    <t>176-10000305</t>
  </si>
  <si>
    <t>176-10000306</t>
  </si>
  <si>
    <t>176-10000307</t>
  </si>
  <si>
    <t>176-10000308</t>
  </si>
  <si>
    <t>176-10000309</t>
  </si>
  <si>
    <t>176-10000310</t>
  </si>
  <si>
    <t>176-10000311</t>
  </si>
  <si>
    <t>176-10000312</t>
  </si>
  <si>
    <t>176-10000313</t>
  </si>
  <si>
    <t>176-10000314</t>
  </si>
  <si>
    <t>176-10000315</t>
  </si>
  <si>
    <t>176-10000316</t>
  </si>
  <si>
    <t>176-10000317</t>
  </si>
  <si>
    <t>176-10000318</t>
  </si>
  <si>
    <t>176-10000319</t>
  </si>
  <si>
    <t>176-10000320</t>
  </si>
  <si>
    <t>176-10000321</t>
  </si>
  <si>
    <t>176-10000322</t>
  </si>
  <si>
    <t>176-10000323</t>
  </si>
  <si>
    <t>176-10000324</t>
  </si>
  <si>
    <t>176-10000325</t>
  </si>
  <si>
    <t>176-10000326</t>
  </si>
  <si>
    <t>176-10000327</t>
  </si>
  <si>
    <t>176-10000328</t>
  </si>
  <si>
    <t>176-10000329</t>
  </si>
  <si>
    <t>176-10000330</t>
  </si>
  <si>
    <t>176-10000331</t>
  </si>
  <si>
    <t>176-10000332</t>
  </si>
  <si>
    <t>176-10000333</t>
  </si>
  <si>
    <t>176-10000334</t>
  </si>
  <si>
    <t>176-10000335</t>
  </si>
  <si>
    <t>176-10000336</t>
  </si>
  <si>
    <t>176-10000337</t>
  </si>
  <si>
    <t>176-10000338</t>
  </si>
  <si>
    <t>176-10000339</t>
  </si>
  <si>
    <t>176-10000340</t>
  </si>
  <si>
    <t>176-10000341</t>
  </si>
  <si>
    <t>176-10000342</t>
  </si>
  <si>
    <t>176-10000343</t>
  </si>
  <si>
    <t>176-10000344</t>
  </si>
  <si>
    <t>176-10000345</t>
  </si>
  <si>
    <t>176-10000346</t>
  </si>
  <si>
    <t>176-10000347</t>
  </si>
  <si>
    <t>176-10000348</t>
  </si>
  <si>
    <t>176-10000349</t>
  </si>
  <si>
    <t>176-10000350</t>
  </si>
  <si>
    <t>176-10000351</t>
  </si>
  <si>
    <t>176-10000352</t>
  </si>
  <si>
    <t>176-10000353</t>
  </si>
  <si>
    <t>176-10000354</t>
  </si>
  <si>
    <t>176-10000355</t>
  </si>
  <si>
    <t>176-10000356</t>
  </si>
  <si>
    <t>176-10000357</t>
  </si>
  <si>
    <t>176-10000358</t>
  </si>
  <si>
    <t>176-10000359</t>
  </si>
  <si>
    <t>176-10000360</t>
  </si>
  <si>
    <t>176-10000361</t>
  </si>
  <si>
    <t>176-10000362</t>
  </si>
  <si>
    <t>176-10000363</t>
  </si>
  <si>
    <t>176-10000364</t>
  </si>
  <si>
    <t>176-10000365</t>
  </si>
  <si>
    <t>176-10000366</t>
  </si>
  <si>
    <t>176-10000367</t>
  </si>
  <si>
    <t>176-10000368</t>
  </si>
  <si>
    <t>176-10000369</t>
  </si>
  <si>
    <t>176-10000370</t>
  </si>
  <si>
    <t>176-10000371</t>
  </si>
  <si>
    <t>176-10000372</t>
  </si>
  <si>
    <t>176-10000373</t>
  </si>
  <si>
    <t>176-10000374</t>
  </si>
  <si>
    <t>176-10000375</t>
  </si>
  <si>
    <t>176-10000376</t>
  </si>
  <si>
    <t>176-10000377</t>
  </si>
  <si>
    <t>176-10000378</t>
  </si>
  <si>
    <t>176-10000379</t>
  </si>
  <si>
    <t>176-10000380</t>
  </si>
  <si>
    <t>176-10000381</t>
  </si>
  <si>
    <t>176-10000382</t>
  </si>
  <si>
    <t>176-10000383</t>
  </si>
  <si>
    <t>176-10000384</t>
  </si>
  <si>
    <t>176-10000385</t>
  </si>
  <si>
    <t>176-10000386</t>
  </si>
  <si>
    <t>176-10000387</t>
  </si>
  <si>
    <t>176-10000388</t>
  </si>
  <si>
    <t>176-10000389</t>
  </si>
  <si>
    <t>176-10000390</t>
  </si>
  <si>
    <t>176-10000391</t>
  </si>
  <si>
    <t>176-10000392</t>
  </si>
  <si>
    <t>176-10000393</t>
  </si>
  <si>
    <t>176-10000394</t>
  </si>
  <si>
    <t>176-10000395</t>
  </si>
  <si>
    <t>176-10000396</t>
  </si>
  <si>
    <t>176-10000397</t>
  </si>
  <si>
    <t>176-10000398</t>
  </si>
  <si>
    <t>176-10000399</t>
  </si>
  <si>
    <t>176-10000400</t>
  </si>
  <si>
    <t>176-10000401</t>
  </si>
  <si>
    <t>176-10000402</t>
  </si>
  <si>
    <t>176-10000403</t>
  </si>
  <si>
    <t>176-10000404</t>
  </si>
  <si>
    <t>176-10000405</t>
  </si>
  <si>
    <t>176-10000406</t>
  </si>
  <si>
    <t>176-10000407</t>
  </si>
  <si>
    <t>176-10000408</t>
  </si>
  <si>
    <t>176-10000409</t>
  </si>
  <si>
    <t>176-10000410</t>
  </si>
  <si>
    <t>176-10000411</t>
  </si>
  <si>
    <t>176-10000412</t>
  </si>
  <si>
    <t>176-10000413</t>
  </si>
  <si>
    <t>176-10000414</t>
  </si>
  <si>
    <t>176-10000415</t>
  </si>
  <si>
    <t>176-10000416</t>
  </si>
  <si>
    <t>176-10000417</t>
  </si>
  <si>
    <t>176-10000418</t>
  </si>
  <si>
    <t>176-10000419</t>
  </si>
  <si>
    <t>176-10000420</t>
  </si>
  <si>
    <t>176-10000421</t>
  </si>
  <si>
    <t>176-10000422</t>
  </si>
  <si>
    <t>176-10000423</t>
  </si>
  <si>
    <t>176-10000424</t>
  </si>
  <si>
    <t>176-10000425</t>
  </si>
  <si>
    <t>176-10000426</t>
  </si>
  <si>
    <t>176-10000427</t>
  </si>
  <si>
    <t>176-10000428</t>
  </si>
  <si>
    <t>176-10000429</t>
  </si>
  <si>
    <t>176-10000430</t>
  </si>
  <si>
    <t>176-10000431</t>
  </si>
  <si>
    <t>176-10000432</t>
  </si>
  <si>
    <t>176-10000433</t>
  </si>
  <si>
    <t>176-10000434</t>
  </si>
  <si>
    <t>176-10000435</t>
  </si>
  <si>
    <t>176-10000436</t>
  </si>
  <si>
    <t>176-10000437</t>
  </si>
  <si>
    <t>176-10000438</t>
  </si>
  <si>
    <t>176-10000439</t>
  </si>
  <si>
    <t>176-10000440</t>
  </si>
  <si>
    <t>176-10000441</t>
  </si>
  <si>
    <t>176-10000442</t>
  </si>
  <si>
    <t>176-10000443</t>
  </si>
  <si>
    <t>176-10000444</t>
  </si>
  <si>
    <t>176-10000445</t>
  </si>
  <si>
    <t>176-10000446</t>
  </si>
  <si>
    <t>176-10000447</t>
  </si>
  <si>
    <t>176-10000448</t>
  </si>
  <si>
    <t>176-10000449</t>
  </si>
  <si>
    <t>176-10000450</t>
  </si>
  <si>
    <t>176-10000451</t>
  </si>
  <si>
    <t>176-10000452</t>
  </si>
  <si>
    <t>176-10000453</t>
  </si>
  <si>
    <t>176-10000454</t>
  </si>
  <si>
    <t>176-10000455</t>
  </si>
  <si>
    <t>176-10000456</t>
  </si>
  <si>
    <t>176-10000457</t>
  </si>
  <si>
    <t>176-10000458</t>
  </si>
  <si>
    <t>176-10000459</t>
  </si>
  <si>
    <t>176-10000460</t>
  </si>
  <si>
    <t>176-10000461</t>
  </si>
  <si>
    <t>176-10000462</t>
  </si>
  <si>
    <t>176-10000463</t>
  </si>
  <si>
    <t>176-10000464</t>
  </si>
  <si>
    <t>176-10000465</t>
  </si>
  <si>
    <t>176-10000466</t>
  </si>
  <si>
    <t>176-10000467</t>
  </si>
  <si>
    <t>176-10000468</t>
  </si>
  <si>
    <t>176-10000469</t>
  </si>
  <si>
    <t>176-10000470</t>
  </si>
  <si>
    <t>176-10000471</t>
  </si>
  <si>
    <t>176-10000472</t>
  </si>
  <si>
    <t>176-10000473</t>
  </si>
  <si>
    <t>176-10000474</t>
  </si>
  <si>
    <t>176-10000475</t>
  </si>
  <si>
    <t>176-10000476</t>
  </si>
  <si>
    <t>176-10000477</t>
  </si>
  <si>
    <t>176-10000478</t>
  </si>
  <si>
    <t>176-10000479</t>
  </si>
  <si>
    <t>176-10000480</t>
  </si>
  <si>
    <t>176-10000481</t>
  </si>
  <si>
    <t>176-10000482</t>
  </si>
  <si>
    <t>176-10000483</t>
  </si>
  <si>
    <t>176-10000484</t>
  </si>
  <si>
    <t>176-10000485</t>
  </si>
  <si>
    <t>176-10000486</t>
  </si>
  <si>
    <t>176-10000487</t>
  </si>
  <si>
    <t>176-10000488</t>
  </si>
  <si>
    <t>176-10000489</t>
  </si>
  <si>
    <t>176-10000490</t>
  </si>
  <si>
    <t>176-10000491</t>
  </si>
  <si>
    <t>176-10000492</t>
  </si>
  <si>
    <t>176-10000493</t>
  </si>
  <si>
    <t>176-10000494</t>
  </si>
  <si>
    <t>176-10000495</t>
  </si>
  <si>
    <t>176-10000496</t>
  </si>
  <si>
    <t>176-10000497</t>
  </si>
  <si>
    <t>176-10000498</t>
  </si>
  <si>
    <t>176-10000499</t>
  </si>
  <si>
    <t>RefundAmount</t>
  </si>
  <si>
    <t>RefundDate</t>
  </si>
  <si>
    <t>RefundReason</t>
  </si>
  <si>
    <t>Customer Request</t>
  </si>
  <si>
    <t>Schedule Change</t>
  </si>
  <si>
    <t>Duplicate Ticket</t>
  </si>
  <si>
    <t>No-show</t>
  </si>
  <si>
    <t>MinFare</t>
  </si>
  <si>
    <t>Penalty</t>
  </si>
  <si>
    <t>Refundable</t>
  </si>
  <si>
    <t>Yes</t>
  </si>
  <si>
    <t>No</t>
  </si>
  <si>
    <t>ReceiptID</t>
  </si>
  <si>
    <t>AmountReceived</t>
  </si>
  <si>
    <t>ReceiptDate</t>
  </si>
  <si>
    <t>PaymentChannel</t>
  </si>
  <si>
    <t>RCPT00000</t>
  </si>
  <si>
    <t>Cash</t>
  </si>
  <si>
    <t>RCPT00001</t>
  </si>
  <si>
    <t>Visa</t>
  </si>
  <si>
    <t>RCPT00002</t>
  </si>
  <si>
    <t>RCPT00003</t>
  </si>
  <si>
    <t>RCPT00004</t>
  </si>
  <si>
    <t>RCPT00005</t>
  </si>
  <si>
    <t>RCPT00006</t>
  </si>
  <si>
    <t>RCPT00007</t>
  </si>
  <si>
    <t>BankTransfer</t>
  </si>
  <si>
    <t>RCPT00008</t>
  </si>
  <si>
    <t>Mastercard</t>
  </si>
  <si>
    <t>RCPT00009</t>
  </si>
  <si>
    <t>RCPT00010</t>
  </si>
  <si>
    <t>RCPT00011</t>
  </si>
  <si>
    <t>RCPT00012</t>
  </si>
  <si>
    <t>RCPT00013</t>
  </si>
  <si>
    <t>RCPT00014</t>
  </si>
  <si>
    <t>Amex</t>
  </si>
  <si>
    <t>RCPT00015</t>
  </si>
  <si>
    <t>RCPT00016</t>
  </si>
  <si>
    <t>RCPT00017</t>
  </si>
  <si>
    <t>RCPT00018</t>
  </si>
  <si>
    <t>RCPT00019</t>
  </si>
  <si>
    <t>RCPT00020</t>
  </si>
  <si>
    <t>RCPT00021</t>
  </si>
  <si>
    <t>RCPT00022</t>
  </si>
  <si>
    <t>RCPT00023</t>
  </si>
  <si>
    <t>RCPT00024</t>
  </si>
  <si>
    <t>RCPT00025</t>
  </si>
  <si>
    <t>RCPT00026</t>
  </si>
  <si>
    <t>RCPT00027</t>
  </si>
  <si>
    <t>RCPT00028</t>
  </si>
  <si>
    <t>RCPT00029</t>
  </si>
  <si>
    <t>RCPT00030</t>
  </si>
  <si>
    <t>RCPT00031</t>
  </si>
  <si>
    <t>RCPT00032</t>
  </si>
  <si>
    <t>RCPT00033</t>
  </si>
  <si>
    <t>RCPT00034</t>
  </si>
  <si>
    <t>RCPT00035</t>
  </si>
  <si>
    <t>RCPT00036</t>
  </si>
  <si>
    <t>RCPT00037</t>
  </si>
  <si>
    <t>RCPT00038</t>
  </si>
  <si>
    <t>RCPT00039</t>
  </si>
  <si>
    <t>RCPT00040</t>
  </si>
  <si>
    <t>RCPT00041</t>
  </si>
  <si>
    <t>RCPT00042</t>
  </si>
  <si>
    <t>RCPT00043</t>
  </si>
  <si>
    <t>RCPT00044</t>
  </si>
  <si>
    <t>RCPT00045</t>
  </si>
  <si>
    <t>RCPT00046</t>
  </si>
  <si>
    <t>RCPT00047</t>
  </si>
  <si>
    <t>RCPT00048</t>
  </si>
  <si>
    <t>RCPT00049</t>
  </si>
  <si>
    <t>RCPT00050</t>
  </si>
  <si>
    <t>RCPT00051</t>
  </si>
  <si>
    <t>RCPT00052</t>
  </si>
  <si>
    <t>RCPT00053</t>
  </si>
  <si>
    <t>RCPT00054</t>
  </si>
  <si>
    <t>RCPT00055</t>
  </si>
  <si>
    <t>RCPT00056</t>
  </si>
  <si>
    <t>RCPT00057</t>
  </si>
  <si>
    <t>RCPT00058</t>
  </si>
  <si>
    <t>RCPT00059</t>
  </si>
  <si>
    <t>RCPT00060</t>
  </si>
  <si>
    <t>RCPT00061</t>
  </si>
  <si>
    <t>RCPT00062</t>
  </si>
  <si>
    <t>RCPT00063</t>
  </si>
  <si>
    <t>RCPT00064</t>
  </si>
  <si>
    <t>RCPT00065</t>
  </si>
  <si>
    <t>RCPT00066</t>
  </si>
  <si>
    <t>RCPT00067</t>
  </si>
  <si>
    <t>RCPT00068</t>
  </si>
  <si>
    <t>RCPT00069</t>
  </si>
  <si>
    <t>RCPT00070</t>
  </si>
  <si>
    <t>RCPT00071</t>
  </si>
  <si>
    <t>RCPT00072</t>
  </si>
  <si>
    <t>RCPT00073</t>
  </si>
  <si>
    <t>RCPT00074</t>
  </si>
  <si>
    <t>RCPT00075</t>
  </si>
  <si>
    <t>RCPT00076</t>
  </si>
  <si>
    <t>RCPT00077</t>
  </si>
  <si>
    <t>RCPT00078</t>
  </si>
  <si>
    <t>RCPT00079</t>
  </si>
  <si>
    <t>RCPT00080</t>
  </si>
  <si>
    <t>RCPT00081</t>
  </si>
  <si>
    <t>RCPT00082</t>
  </si>
  <si>
    <t>RCPT00083</t>
  </si>
  <si>
    <t>RCPT00084</t>
  </si>
  <si>
    <t>RCPT00085</t>
  </si>
  <si>
    <t>RCPT00086</t>
  </si>
  <si>
    <t>RCPT00087</t>
  </si>
  <si>
    <t>RCPT00088</t>
  </si>
  <si>
    <t>RCPT00089</t>
  </si>
  <si>
    <t>RCPT00090</t>
  </si>
  <si>
    <t>RCPT00091</t>
  </si>
  <si>
    <t>RCPT00092</t>
  </si>
  <si>
    <t>RCPT00093</t>
  </si>
  <si>
    <t>RCPT00094</t>
  </si>
  <si>
    <t>RCPT00095</t>
  </si>
  <si>
    <t>RCPT00096</t>
  </si>
  <si>
    <t>RCPT00097</t>
  </si>
  <si>
    <t>RCPT00098</t>
  </si>
  <si>
    <t>RCPT00099</t>
  </si>
  <si>
    <t>RCPT00100</t>
  </si>
  <si>
    <t>RCPT00101</t>
  </si>
  <si>
    <t>RCPT00102</t>
  </si>
  <si>
    <t>RCPT00103</t>
  </si>
  <si>
    <t>RCPT00104</t>
  </si>
  <si>
    <t>RCPT00105</t>
  </si>
  <si>
    <t>RCPT00106</t>
  </si>
  <si>
    <t>RCPT00107</t>
  </si>
  <si>
    <t>RCPT00108</t>
  </si>
  <si>
    <t>RCPT00109</t>
  </si>
  <si>
    <t>RCPT00110</t>
  </si>
  <si>
    <t>RCPT00111</t>
  </si>
  <si>
    <t>RCPT00112</t>
  </si>
  <si>
    <t>RCPT00113</t>
  </si>
  <si>
    <t>RCPT00114</t>
  </si>
  <si>
    <t>RCPT00115</t>
  </si>
  <si>
    <t>RCPT00116</t>
  </si>
  <si>
    <t>RCPT00117</t>
  </si>
  <si>
    <t>RCPT00118</t>
  </si>
  <si>
    <t>RCPT00119</t>
  </si>
  <si>
    <t>RCPT00120</t>
  </si>
  <si>
    <t>RCPT00121</t>
  </si>
  <si>
    <t>RCPT00122</t>
  </si>
  <si>
    <t>RCPT00123</t>
  </si>
  <si>
    <t>RCPT00124</t>
  </si>
  <si>
    <t>RCPT00125</t>
  </si>
  <si>
    <t>RCPT00126</t>
  </si>
  <si>
    <t>RCPT00127</t>
  </si>
  <si>
    <t>RCPT00128</t>
  </si>
  <si>
    <t>RCPT00129</t>
  </si>
  <si>
    <t>RCPT00130</t>
  </si>
  <si>
    <t>RCPT00131</t>
  </si>
  <si>
    <t>RCPT00132</t>
  </si>
  <si>
    <t>RCPT00133</t>
  </si>
  <si>
    <t>RCPT00134</t>
  </si>
  <si>
    <t>RCPT00135</t>
  </si>
  <si>
    <t>RCPT00136</t>
  </si>
  <si>
    <t>RCPT00137</t>
  </si>
  <si>
    <t>RCPT00138</t>
  </si>
  <si>
    <t>RCPT00139</t>
  </si>
  <si>
    <t>RCPT00140</t>
  </si>
  <si>
    <t>RCPT00141</t>
  </si>
  <si>
    <t>RCPT00142</t>
  </si>
  <si>
    <t>RCPT00143</t>
  </si>
  <si>
    <t>RCPT00144</t>
  </si>
  <si>
    <t>RCPT00145</t>
  </si>
  <si>
    <t>RCPT00146</t>
  </si>
  <si>
    <t>RCPT00147</t>
  </si>
  <si>
    <t>RCPT00148</t>
  </si>
  <si>
    <t>RCPT00149</t>
  </si>
  <si>
    <t>RCPT00150</t>
  </si>
  <si>
    <t>RCPT00151</t>
  </si>
  <si>
    <t>RCPT00152</t>
  </si>
  <si>
    <t>RCPT00153</t>
  </si>
  <si>
    <t>RCPT00154</t>
  </si>
  <si>
    <t>RCPT00155</t>
  </si>
  <si>
    <t>RCPT00156</t>
  </si>
  <si>
    <t>RCPT00157</t>
  </si>
  <si>
    <t>RCPT00158</t>
  </si>
  <si>
    <t>RCPT00159</t>
  </si>
  <si>
    <t>RCPT00160</t>
  </si>
  <si>
    <t>RCPT00161</t>
  </si>
  <si>
    <t>RCPT00162</t>
  </si>
  <si>
    <t>RCPT00163</t>
  </si>
  <si>
    <t>RCPT00164</t>
  </si>
  <si>
    <t>RCPT00165</t>
  </si>
  <si>
    <t>RCPT00166</t>
  </si>
  <si>
    <t>RCPT00167</t>
  </si>
  <si>
    <t>RCPT00168</t>
  </si>
  <si>
    <t>RCPT00169</t>
  </si>
  <si>
    <t>RCPT00170</t>
  </si>
  <si>
    <t>RCPT00171</t>
  </si>
  <si>
    <t>RCPT00172</t>
  </si>
  <si>
    <t>RCPT00173</t>
  </si>
  <si>
    <t>RCPT00174</t>
  </si>
  <si>
    <t>RCPT00175</t>
  </si>
  <si>
    <t>RCPT00176</t>
  </si>
  <si>
    <t>RCPT00177</t>
  </si>
  <si>
    <t>RCPT00178</t>
  </si>
  <si>
    <t>RCPT00179</t>
  </si>
  <si>
    <t>RCPT00180</t>
  </si>
  <si>
    <t>RCPT00181</t>
  </si>
  <si>
    <t>RCPT00182</t>
  </si>
  <si>
    <t>RCPT00183</t>
  </si>
  <si>
    <t>RCPT00184</t>
  </si>
  <si>
    <t>RCPT00185</t>
  </si>
  <si>
    <t>RCPT00186</t>
  </si>
  <si>
    <t>RCPT00187</t>
  </si>
  <si>
    <t>RCPT00188</t>
  </si>
  <si>
    <t>RCPT00189</t>
  </si>
  <si>
    <t>RCPT00190</t>
  </si>
  <si>
    <t>RCPT00191</t>
  </si>
  <si>
    <t>RCPT00192</t>
  </si>
  <si>
    <t>RCPT00193</t>
  </si>
  <si>
    <t>RCPT00194</t>
  </si>
  <si>
    <t>RCPT00195</t>
  </si>
  <si>
    <t>RCPT00196</t>
  </si>
  <si>
    <t>RCPT00197</t>
  </si>
  <si>
    <t>RCPT00198</t>
  </si>
  <si>
    <t>RCPT00199</t>
  </si>
  <si>
    <t>RCPT00200</t>
  </si>
  <si>
    <t>RCPT00201</t>
  </si>
  <si>
    <t>RCPT00202</t>
  </si>
  <si>
    <t>RCPT00203</t>
  </si>
  <si>
    <t>RCPT00204</t>
  </si>
  <si>
    <t>RCPT00205</t>
  </si>
  <si>
    <t>RCPT00206</t>
  </si>
  <si>
    <t>RCPT00207</t>
  </si>
  <si>
    <t>RCPT00208</t>
  </si>
  <si>
    <t>RCPT00209</t>
  </si>
  <si>
    <t>RCPT00210</t>
  </si>
  <si>
    <t>RCPT00211</t>
  </si>
  <si>
    <t>RCPT00212</t>
  </si>
  <si>
    <t>RCPT00213</t>
  </si>
  <si>
    <t>RCPT00214</t>
  </si>
  <si>
    <t>RCPT00215</t>
  </si>
  <si>
    <t>RCPT00216</t>
  </si>
  <si>
    <t>RCPT00217</t>
  </si>
  <si>
    <t>RCPT00218</t>
  </si>
  <si>
    <t>RCPT00219</t>
  </si>
  <si>
    <t>RCPT00220</t>
  </si>
  <si>
    <t>RCPT00221</t>
  </si>
  <si>
    <t>RCPT00222</t>
  </si>
  <si>
    <t>RCPT00223</t>
  </si>
  <si>
    <t>RCPT00224</t>
  </si>
  <si>
    <t>RCPT00225</t>
  </si>
  <si>
    <t>RCPT00226</t>
  </si>
  <si>
    <t>RCPT00227</t>
  </si>
  <si>
    <t>RCPT00228</t>
  </si>
  <si>
    <t>RCPT00229</t>
  </si>
  <si>
    <t>RCPT00230</t>
  </si>
  <si>
    <t>RCPT00231</t>
  </si>
  <si>
    <t>RCPT00232</t>
  </si>
  <si>
    <t>RCPT00233</t>
  </si>
  <si>
    <t>RCPT00234</t>
  </si>
  <si>
    <t>RCPT00235</t>
  </si>
  <si>
    <t>RCPT00236</t>
  </si>
  <si>
    <t>RCPT00237</t>
  </si>
  <si>
    <t>RCPT00238</t>
  </si>
  <si>
    <t>RCPT00239</t>
  </si>
  <si>
    <t>RCPT00240</t>
  </si>
  <si>
    <t>RCPT00241</t>
  </si>
  <si>
    <t>RCPT00242</t>
  </si>
  <si>
    <t>RCPT00243</t>
  </si>
  <si>
    <t>RCPT00244</t>
  </si>
  <si>
    <t>RCPT00245</t>
  </si>
  <si>
    <t>RCPT00246</t>
  </si>
  <si>
    <t>RCPT00247</t>
  </si>
  <si>
    <t>RCPT00248</t>
  </si>
  <si>
    <t>RCPT00249</t>
  </si>
  <si>
    <t>RCPT00250</t>
  </si>
  <si>
    <t>RCPT00251</t>
  </si>
  <si>
    <t>RCPT00252</t>
  </si>
  <si>
    <t>RCPT00253</t>
  </si>
  <si>
    <t>RCPT00254</t>
  </si>
  <si>
    <t>RCPT00255</t>
  </si>
  <si>
    <t>RCPT00256</t>
  </si>
  <si>
    <t>RCPT00257</t>
  </si>
  <si>
    <t>RCPT00258</t>
  </si>
  <si>
    <t>RCPT00259</t>
  </si>
  <si>
    <t>RCPT00260</t>
  </si>
  <si>
    <t>RCPT00261</t>
  </si>
  <si>
    <t>RCPT00262</t>
  </si>
  <si>
    <t>RCPT00263</t>
  </si>
  <si>
    <t>RCPT00264</t>
  </si>
  <si>
    <t>RCPT00265</t>
  </si>
  <si>
    <t>RCPT00266</t>
  </si>
  <si>
    <t>RCPT00267</t>
  </si>
  <si>
    <t>RCPT00268</t>
  </si>
  <si>
    <t>RCPT00269</t>
  </si>
  <si>
    <t>RCPT00270</t>
  </si>
  <si>
    <t>RCPT00271</t>
  </si>
  <si>
    <t>RCPT00272</t>
  </si>
  <si>
    <t>RCPT00273</t>
  </si>
  <si>
    <t>RCPT00274</t>
  </si>
  <si>
    <t>RCPT00275</t>
  </si>
  <si>
    <t>RCPT00276</t>
  </si>
  <si>
    <t>RCPT00277</t>
  </si>
  <si>
    <t>RCPT00278</t>
  </si>
  <si>
    <t>RCPT00279</t>
  </si>
  <si>
    <t>RCPT00280</t>
  </si>
  <si>
    <t>RCPT00281</t>
  </si>
  <si>
    <t>RCPT00282</t>
  </si>
  <si>
    <t>RCPT00283</t>
  </si>
  <si>
    <t>RCPT00284</t>
  </si>
  <si>
    <t>RCPT00285</t>
  </si>
  <si>
    <t>RCPT00286</t>
  </si>
  <si>
    <t>RCPT00287</t>
  </si>
  <si>
    <t>RCPT00288</t>
  </si>
  <si>
    <t>RCPT00289</t>
  </si>
  <si>
    <t>RCPT00290</t>
  </si>
  <si>
    <t>RCPT00291</t>
  </si>
  <si>
    <t>RCPT00292</t>
  </si>
  <si>
    <t>RCPT00293</t>
  </si>
  <si>
    <t>RCPT00294</t>
  </si>
  <si>
    <t>RCPT00295</t>
  </si>
  <si>
    <t>RCPT00296</t>
  </si>
  <si>
    <t>RCPT00297</t>
  </si>
  <si>
    <t>RCPT00298</t>
  </si>
  <si>
    <t>RCPT00299</t>
  </si>
  <si>
    <t>RCPT00300</t>
  </si>
  <si>
    <t>RCPT00301</t>
  </si>
  <si>
    <t>RCPT00302</t>
  </si>
  <si>
    <t>RCPT00303</t>
  </si>
  <si>
    <t>RCPT00304</t>
  </si>
  <si>
    <t>RCPT00305</t>
  </si>
  <si>
    <t>RCPT00306</t>
  </si>
  <si>
    <t>RCPT00307</t>
  </si>
  <si>
    <t>RCPT00308</t>
  </si>
  <si>
    <t>RCPT00309</t>
  </si>
  <si>
    <t>RCPT00310</t>
  </si>
  <si>
    <t>RCPT00311</t>
  </si>
  <si>
    <t>RCPT00312</t>
  </si>
  <si>
    <t>RCPT00313</t>
  </si>
  <si>
    <t>RCPT00314</t>
  </si>
  <si>
    <t>RCPT00315</t>
  </si>
  <si>
    <t>RCPT00316</t>
  </si>
  <si>
    <t>RCPT00317</t>
  </si>
  <si>
    <t>RCPT00318</t>
  </si>
  <si>
    <t>RCPT00319</t>
  </si>
  <si>
    <t>RCPT00320</t>
  </si>
  <si>
    <t>RCPT00321</t>
  </si>
  <si>
    <t>RCPT00322</t>
  </si>
  <si>
    <t>RCPT00323</t>
  </si>
  <si>
    <t>RCPT00324</t>
  </si>
  <si>
    <t>RCPT00325</t>
  </si>
  <si>
    <t>RCPT00326</t>
  </si>
  <si>
    <t>RCPT00327</t>
  </si>
  <si>
    <t>RCPT00328</t>
  </si>
  <si>
    <t>RCPT00329</t>
  </si>
  <si>
    <t>RCPT00330</t>
  </si>
  <si>
    <t>RCPT00331</t>
  </si>
  <si>
    <t>RCPT00332</t>
  </si>
  <si>
    <t>RCPT00333</t>
  </si>
  <si>
    <t>RCPT00334</t>
  </si>
  <si>
    <t>RCPT00335</t>
  </si>
  <si>
    <t>RCPT00336</t>
  </si>
  <si>
    <t>RCPT00337</t>
  </si>
  <si>
    <t>RCPT00338</t>
  </si>
  <si>
    <t>RCPT00339</t>
  </si>
  <si>
    <t>RCPT00340</t>
  </si>
  <si>
    <t>RCPT00341</t>
  </si>
  <si>
    <t>RCPT00342</t>
  </si>
  <si>
    <t>RCPT00343</t>
  </si>
  <si>
    <t>RCPT00344</t>
  </si>
  <si>
    <t>RCPT00345</t>
  </si>
  <si>
    <t>RCPT00346</t>
  </si>
  <si>
    <t>RCPT00347</t>
  </si>
  <si>
    <t>RCPT00348</t>
  </si>
  <si>
    <t>RCPT00349</t>
  </si>
  <si>
    <t>RCPT00350</t>
  </si>
  <si>
    <t>RCPT00351</t>
  </si>
  <si>
    <t>RCPT00352</t>
  </si>
  <si>
    <t>RCPT00353</t>
  </si>
  <si>
    <t>RCPT00354</t>
  </si>
  <si>
    <t>RCPT00355</t>
  </si>
  <si>
    <t>RCPT00356</t>
  </si>
  <si>
    <t>RCPT00357</t>
  </si>
  <si>
    <t>RCPT00358</t>
  </si>
  <si>
    <t>RCPT00359</t>
  </si>
  <si>
    <t>RCPT00360</t>
  </si>
  <si>
    <t>RCPT00361</t>
  </si>
  <si>
    <t>RCPT00362</t>
  </si>
  <si>
    <t>RCPT00363</t>
  </si>
  <si>
    <t>RCPT00364</t>
  </si>
  <si>
    <t>RCPT00365</t>
  </si>
  <si>
    <t>RCPT00366</t>
  </si>
  <si>
    <t>RCPT00367</t>
  </si>
  <si>
    <t>RCPT00368</t>
  </si>
  <si>
    <t>RCPT00369</t>
  </si>
  <si>
    <t>RCPT00370</t>
  </si>
  <si>
    <t>RCPT00371</t>
  </si>
  <si>
    <t>RCPT00372</t>
  </si>
  <si>
    <t>RCPT00373</t>
  </si>
  <si>
    <t>RCPT00374</t>
  </si>
  <si>
    <t>RCPT00375</t>
  </si>
  <si>
    <t>RCPT00376</t>
  </si>
  <si>
    <t>RCPT00377</t>
  </si>
  <si>
    <t>RCPT00378</t>
  </si>
  <si>
    <t>RCPT00379</t>
  </si>
  <si>
    <t>RCPT00380</t>
  </si>
  <si>
    <t>RCPT00381</t>
  </si>
  <si>
    <t>RCPT00382</t>
  </si>
  <si>
    <t>RCPT00383</t>
  </si>
  <si>
    <t>RCPT00384</t>
  </si>
  <si>
    <t>RCPT00385</t>
  </si>
  <si>
    <t>RCPT00386</t>
  </si>
  <si>
    <t>RCPT00387</t>
  </si>
  <si>
    <t>RCPT00388</t>
  </si>
  <si>
    <t>RCPT00389</t>
  </si>
  <si>
    <t>RCPT00390</t>
  </si>
  <si>
    <t>RCPT00391</t>
  </si>
  <si>
    <t>RCPT00392</t>
  </si>
  <si>
    <t>RCPT00393</t>
  </si>
  <si>
    <t>RCPT00394</t>
  </si>
  <si>
    <t>RCPT00395</t>
  </si>
  <si>
    <t>RCPT00396</t>
  </si>
  <si>
    <t>RCPT00397</t>
  </si>
  <si>
    <t>RCPT00398</t>
  </si>
  <si>
    <t>RCPT00399</t>
  </si>
  <si>
    <t>RCPT00400</t>
  </si>
  <si>
    <t>RCPT00401</t>
  </si>
  <si>
    <t>RCPT00402</t>
  </si>
  <si>
    <t>RCPT00403</t>
  </si>
  <si>
    <t>RCPT00404</t>
  </si>
  <si>
    <t>RCPT00405</t>
  </si>
  <si>
    <t>RCPT00406</t>
  </si>
  <si>
    <t>RCPT00407</t>
  </si>
  <si>
    <t>RCPT00408</t>
  </si>
  <si>
    <t>RCPT00409</t>
  </si>
  <si>
    <t>RCPT00410</t>
  </si>
  <si>
    <t>RCPT00411</t>
  </si>
  <si>
    <t>RCPT00412</t>
  </si>
  <si>
    <t>RCPT00413</t>
  </si>
  <si>
    <t>RCPT00414</t>
  </si>
  <si>
    <t>RCPT00415</t>
  </si>
  <si>
    <t>RCPT00416</t>
  </si>
  <si>
    <t>RCPT00417</t>
  </si>
  <si>
    <t>RCPT00418</t>
  </si>
  <si>
    <t>RCPT00419</t>
  </si>
  <si>
    <t>RCPT00420</t>
  </si>
  <si>
    <t>RCPT00421</t>
  </si>
  <si>
    <t>RCPT00422</t>
  </si>
  <si>
    <t>RCPT00423</t>
  </si>
  <si>
    <t>RCPT00424</t>
  </si>
  <si>
    <t>RCPT00425</t>
  </si>
  <si>
    <t>RCPT00426</t>
  </si>
  <si>
    <t>RCPT00427</t>
  </si>
  <si>
    <t>RCPT00428</t>
  </si>
  <si>
    <t>RCPT00429</t>
  </si>
  <si>
    <t>RCPT00430</t>
  </si>
  <si>
    <t>RCPT00431</t>
  </si>
  <si>
    <t>RCPT00432</t>
  </si>
  <si>
    <t>RCPT00433</t>
  </si>
  <si>
    <t>RCPT00434</t>
  </si>
  <si>
    <t>RCPT00435</t>
  </si>
  <si>
    <t>RCPT00436</t>
  </si>
  <si>
    <t>RCPT00437</t>
  </si>
  <si>
    <t>RCPT00438</t>
  </si>
  <si>
    <t>RCPT00439</t>
  </si>
  <si>
    <t>RCPT00440</t>
  </si>
  <si>
    <t>RCPT00441</t>
  </si>
  <si>
    <t>RCPT00442</t>
  </si>
  <si>
    <t>RCPT00443</t>
  </si>
  <si>
    <t>RCPT00444</t>
  </si>
  <si>
    <t>RCPT00445</t>
  </si>
  <si>
    <t>RCPT00446</t>
  </si>
  <si>
    <t>RCPT00447</t>
  </si>
  <si>
    <t>RCPT00448</t>
  </si>
  <si>
    <t>RCPT00449</t>
  </si>
  <si>
    <t>RCPT00450</t>
  </si>
  <si>
    <t>RCPT00451</t>
  </si>
  <si>
    <t>RCPT00452</t>
  </si>
  <si>
    <t>RCPT00453</t>
  </si>
  <si>
    <t>RCPT00454</t>
  </si>
  <si>
    <t>RCPT00455</t>
  </si>
  <si>
    <t>RCPT00456</t>
  </si>
  <si>
    <t>RCPT00457</t>
  </si>
  <si>
    <t>RCPT00458</t>
  </si>
  <si>
    <t>RCPT00459</t>
  </si>
  <si>
    <t>RCPT00460</t>
  </si>
  <si>
    <t>RCPT00461</t>
  </si>
  <si>
    <t>RCPT00462</t>
  </si>
  <si>
    <t>RCPT00463</t>
  </si>
  <si>
    <t>RCPT00464</t>
  </si>
  <si>
    <t>RCPT00465</t>
  </si>
  <si>
    <t>RCPT00466</t>
  </si>
  <si>
    <t>RCPT00467</t>
  </si>
  <si>
    <t>RCPT00468</t>
  </si>
  <si>
    <t>RCPT00469</t>
  </si>
  <si>
    <t>RCPT00470</t>
  </si>
  <si>
    <t>RCPT00471</t>
  </si>
  <si>
    <t>RCPT00472</t>
  </si>
  <si>
    <t>RCPT00473</t>
  </si>
  <si>
    <t>RCPT00474</t>
  </si>
  <si>
    <t>RCPT00475</t>
  </si>
  <si>
    <t>RCPT00476</t>
  </si>
  <si>
    <t>RCPT00477</t>
  </si>
  <si>
    <t>RCPT00478</t>
  </si>
  <si>
    <t>RCPT00479</t>
  </si>
  <si>
    <t>RCPT00480</t>
  </si>
  <si>
    <t>RCPT00481</t>
  </si>
  <si>
    <t>RCPT00482</t>
  </si>
  <si>
    <t>RCPT00483</t>
  </si>
  <si>
    <t>RCPT00484</t>
  </si>
  <si>
    <t>RCPT00485</t>
  </si>
  <si>
    <t>RCPT00486</t>
  </si>
  <si>
    <t>RCPT00487</t>
  </si>
  <si>
    <t>RCPT00488</t>
  </si>
  <si>
    <t>RCPT00489</t>
  </si>
  <si>
    <t>RCPT00490</t>
  </si>
  <si>
    <t>RCPT00491</t>
  </si>
  <si>
    <t>RCPT00492</t>
  </si>
  <si>
    <t>RCPT00493</t>
  </si>
  <si>
    <t>RCPT00494</t>
  </si>
  <si>
    <t>RCPT00495</t>
  </si>
  <si>
    <t>RCPT00496</t>
  </si>
  <si>
    <t>RCPT00497</t>
  </si>
  <si>
    <t>RCPT00498</t>
  </si>
  <si>
    <t>RCPT00499</t>
  </si>
  <si>
    <t>ADMAmount</t>
  </si>
  <si>
    <t>Reason</t>
  </si>
  <si>
    <t>SettlementStatus</t>
  </si>
  <si>
    <t>ADMDate</t>
  </si>
  <si>
    <t>No-show violation</t>
  </si>
  <si>
    <t>Pending</t>
  </si>
  <si>
    <t>Incorrect Fare</t>
  </si>
  <si>
    <t>Paid</t>
  </si>
  <si>
    <t>Incorrect Tax</t>
  </si>
  <si>
    <t>Under-collection</t>
  </si>
  <si>
    <t>Refund Turnaround Days</t>
  </si>
  <si>
    <t>Refund Percentage</t>
  </si>
  <si>
    <t>Refund Policy Violation</t>
  </si>
  <si>
    <t>Row Labels</t>
  </si>
  <si>
    <t>Grand Total</t>
  </si>
  <si>
    <t>Count of Refund Policy Violation</t>
  </si>
  <si>
    <t>Average of Refund Percentage</t>
  </si>
  <si>
    <t>Sum of Refund Turnaround Days</t>
  </si>
  <si>
    <t>Refund Compliance Dashboard</t>
  </si>
  <si>
    <t>Count of TicketNumber</t>
  </si>
  <si>
    <t>Sum of ADMAmount</t>
  </si>
  <si>
    <t>ADM Analysis</t>
  </si>
  <si>
    <t>Sum of AmountReceived</t>
  </si>
  <si>
    <t>Payment Channel Breakdown</t>
  </si>
  <si>
    <t>Average of MinFare</t>
  </si>
  <si>
    <t>Average of Penalty</t>
  </si>
  <si>
    <t>Route and Class Analysis of Fares and Penalties</t>
  </si>
  <si>
    <t>Column Labels</t>
  </si>
  <si>
    <t>Count of Refundable</t>
  </si>
  <si>
    <t>Class-Based Summary of Ticket Costs and Refundability</t>
  </si>
  <si>
    <t>Sum of RefundAmount</t>
  </si>
  <si>
    <t xml:space="preserve"> Refunds by Reason and Class</t>
  </si>
  <si>
    <t>Refund Lag Time</t>
  </si>
  <si>
    <t>Sum of FareCharged</t>
  </si>
  <si>
    <t>Total Sum of FareCharged</t>
  </si>
  <si>
    <t>Agent Total Sales and Refunds</t>
  </si>
  <si>
    <t>Total Count of TicketNumber</t>
  </si>
  <si>
    <t>Sales Analysis by Route and Agent</t>
  </si>
  <si>
    <t>Total Sum of FareCharged2</t>
  </si>
  <si>
    <t>Sum of FareCharged2</t>
  </si>
  <si>
    <t>Total Average of FareCharged</t>
  </si>
  <si>
    <t>Average of FareCharged</t>
  </si>
  <si>
    <t>Class and Passenger Type Breakdown</t>
  </si>
  <si>
    <t>Jan</t>
  </si>
  <si>
    <t>Feb</t>
  </si>
  <si>
    <t>Mar</t>
  </si>
  <si>
    <t>Apr</t>
  </si>
  <si>
    <t>May</t>
  </si>
  <si>
    <t>Sum of Taxes</t>
  </si>
  <si>
    <t>Monthly Sales Trend</t>
  </si>
  <si>
    <t>Sum of FareCharged3</t>
  </si>
  <si>
    <t>Average of FareCharged2</t>
  </si>
  <si>
    <t>Max of FareCharged</t>
  </si>
  <si>
    <t>Agent Performance and Commission Estimation</t>
  </si>
  <si>
    <t>Revenue Assurance, Refunds &amp; ADM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</si>
</sst>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NumberFormat="1"/>
    <xf numFmtId="14" fontId="0" fillId="0" borderId="0" xfId="0" applyNumberForma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9" fontId="0" fillId="0" borderId="1" xfId="0" applyNumberFormat="1" applyBorder="1"/>
    <xf numFmtId="0" fontId="0" fillId="0" borderId="1" xfId="0" applyNumberFormat="1" applyBorder="1"/>
    <xf numFmtId="0" fontId="0" fillId="0" borderId="2" xfId="0" pivotButton="1" applyBorder="1"/>
    <xf numFmtId="0" fontId="0" fillId="0" borderId="2" xfId="0" applyBorder="1"/>
    <xf numFmtId="0" fontId="2" fillId="0" borderId="3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43" fontId="0" fillId="0" borderId="0" xfId="0" applyNumberFormat="1"/>
    <xf numFmtId="43" fontId="0" fillId="0" borderId="1" xfId="0" applyNumberFormat="1" applyBorder="1"/>
    <xf numFmtId="0" fontId="0" fillId="0" borderId="1" xfId="0" applyBorder="1" applyAlignment="1">
      <alignment horizontal="left" inden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pivotButton="1" applyBorder="1"/>
    <xf numFmtId="0" fontId="0" fillId="0" borderId="0" xfId="0" pivotButton="1" applyBorder="1"/>
    <xf numFmtId="0" fontId="0" fillId="0" borderId="0" xfId="0" applyBorder="1"/>
    <xf numFmtId="0" fontId="0" fillId="0" borderId="13" xfId="0" applyBorder="1"/>
    <xf numFmtId="0" fontId="0" fillId="0" borderId="12" xfId="0" applyBorder="1" applyAlignment="1">
      <alignment horizontal="left"/>
    </xf>
    <xf numFmtId="43" fontId="0" fillId="0" borderId="0" xfId="0" applyNumberFormat="1" applyBorder="1"/>
    <xf numFmtId="43" fontId="0" fillId="0" borderId="13" xfId="0" applyNumberFormat="1" applyBorder="1"/>
    <xf numFmtId="0" fontId="0" fillId="0" borderId="14" xfId="0" applyBorder="1" applyAlignment="1">
      <alignment horizontal="left"/>
    </xf>
    <xf numFmtId="43" fontId="0" fillId="0" borderId="15" xfId="0" applyNumberFormat="1" applyBorder="1"/>
    <xf numFmtId="43" fontId="0" fillId="0" borderId="16" xfId="0" applyNumberFormat="1" applyBorder="1"/>
    <xf numFmtId="0" fontId="2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2" fillId="0" borderId="0" xfId="0" applyFont="1" applyBorder="1" applyAlignment="1"/>
    <xf numFmtId="0" fontId="2" fillId="2" borderId="0" xfId="0" applyFont="1" applyFill="1" applyBorder="1" applyAlignment="1"/>
    <xf numFmtId="0" fontId="2" fillId="0" borderId="1" xfId="0" applyFont="1" applyBorder="1"/>
    <xf numFmtId="43" fontId="0" fillId="0" borderId="1" xfId="1" applyFont="1" applyBorder="1"/>
    <xf numFmtId="43" fontId="2" fillId="0" borderId="1" xfId="1" applyFont="1" applyBorder="1"/>
    <xf numFmtId="165" fontId="0" fillId="0" borderId="1" xfId="1" applyNumberFormat="1" applyFont="1" applyBorder="1"/>
    <xf numFmtId="165" fontId="2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NumberFormat="1" applyFont="1" applyFill="1" applyBorder="1" applyAlignment="1"/>
    <xf numFmtId="0" fontId="2" fillId="0" borderId="0" xfId="0" applyNumberFormat="1" applyFont="1" applyBorder="1" applyAlignment="1"/>
    <xf numFmtId="0" fontId="2" fillId="2" borderId="0" xfId="0" applyFont="1" applyFill="1" applyBorder="1" applyAlignment="1">
      <alignment horizontal="center"/>
    </xf>
    <xf numFmtId="0" fontId="2" fillId="0" borderId="0" xfId="0" applyFont="1" applyBorder="1"/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45">
    <dxf>
      <numFmt numFmtId="35" formatCode="_(* #,##0.00_);_(* \(#,##0.00\);_(* &quot;-&quot;??_);_(@_)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35" formatCode="_(* #,##0.00_);_(* \(#,##0.00\);_(* &quot;-&quot;??_);_(@_)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35" formatCode="_(* #,##0.00_);_(* \(#,##0.00\);_(* &quot;-&quot;??_);_(@_)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Project.xlsx]Refunds Compliance Dashboard!PivotTable1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'Refunds Compliance Dashboard'!$B$126</c:f>
              <c:strCache>
                <c:ptCount val="1"/>
                <c:pt idx="0">
                  <c:v>Average of Refund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'Refunds Compliance Dashboard'!$A$127:$A$133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'Refunds Compliance Dashboard'!$B$127:$B$133</c:f>
              <c:numCache>
                <c:formatCode>0%</c:formatCode>
                <c:ptCount val="6"/>
                <c:pt idx="0">
                  <c:v>0.72708543651991897</c:v>
                </c:pt>
                <c:pt idx="1">
                  <c:v>0.78329270078192148</c:v>
                </c:pt>
                <c:pt idx="2">
                  <c:v>0.72305911335725648</c:v>
                </c:pt>
                <c:pt idx="3">
                  <c:v>0.77631217583729828</c:v>
                </c:pt>
                <c:pt idx="4">
                  <c:v>0.74716119587126328</c:v>
                </c:pt>
                <c:pt idx="5">
                  <c:v>0.69369297319812939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D-417F-964E-C592730E933C}"/>
            </c:ext>
          </c:extLst>
        </c:ser>
        <c:ser>
          <c:idx val="1"/>
          <c:order val="1"/>
          <c:tx>
            <c:strRef>
              <c:f>'Refunds Compliance Dashboard'!$C$126</c:f>
              <c:strCache>
                <c:ptCount val="1"/>
                <c:pt idx="0">
                  <c:v>Sum of Refund Turnaround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'Refunds Compliance Dashboard'!$A$127:$A$133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'Refunds Compliance Dashboard'!$C$127:$C$133</c:f>
              <c:numCache>
                <c:formatCode>General</c:formatCode>
                <c:ptCount val="6"/>
                <c:pt idx="0">
                  <c:v>-352</c:v>
                </c:pt>
                <c:pt idx="1">
                  <c:v>-510</c:v>
                </c:pt>
                <c:pt idx="2">
                  <c:v>-498</c:v>
                </c:pt>
                <c:pt idx="3">
                  <c:v>-273</c:v>
                </c:pt>
                <c:pt idx="4">
                  <c:v>-595</c:v>
                </c:pt>
                <c:pt idx="5">
                  <c:v>-484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D-417F-964E-C592730E933C}"/>
            </c:ext>
          </c:extLst>
        </c:ser>
        <c:ser>
          <c:idx val="2"/>
          <c:order val="2"/>
          <c:tx>
            <c:strRef>
              <c:f>'Refunds Compliance Dashboard'!$D$126</c:f>
              <c:strCache>
                <c:ptCount val="1"/>
                <c:pt idx="0">
                  <c:v>Count of Refund Policy Violation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'Refunds Compliance Dashboard'!$A$127:$A$133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'Refunds Compliance Dashboard'!$D$127:$D$133</c:f>
              <c:numCache>
                <c:formatCode>General</c:formatCode>
                <c:ptCount val="6"/>
                <c:pt idx="0">
                  <c:v>14</c:v>
                </c:pt>
                <c:pt idx="1">
                  <c:v>21</c:v>
                </c:pt>
                <c:pt idx="2">
                  <c:v>23</c:v>
                </c:pt>
                <c:pt idx="3">
                  <c:v>15</c:v>
                </c:pt>
                <c:pt idx="4">
                  <c:v>28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BD-417F-964E-C592730E9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6405151"/>
        <c:axId val="646403231"/>
      </c:barChart>
      <c:catAx>
        <c:axId val="64640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03231"/>
        <c:crosses val="autoZero"/>
        <c:auto val="1"/>
        <c:lblAlgn val="ctr"/>
        <c:lblOffset val="100"/>
        <c:noMultiLvlLbl val="0"/>
      </c:catAx>
      <c:valAx>
        <c:axId val="64640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0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Project.xlsx]ADM_History!PivotTable2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130333841484736"/>
          <c:y val="0.16564596092155148"/>
          <c:w val="0.48264527768842391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ADM_History!$B$105</c:f>
              <c:strCache>
                <c:ptCount val="1"/>
                <c:pt idx="0">
                  <c:v>Count of TicketNumber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ADM_History!$A$106:$A$131</c:f>
              <c:multiLvlStrCache>
                <c:ptCount val="20"/>
                <c:lvl>
                  <c:pt idx="0">
                    <c:v>Incorrect Fare</c:v>
                  </c:pt>
                  <c:pt idx="1">
                    <c:v>Incorrect Tax</c:v>
                  </c:pt>
                  <c:pt idx="2">
                    <c:v>No-show violation</c:v>
                  </c:pt>
                  <c:pt idx="3">
                    <c:v>Under-collection</c:v>
                  </c:pt>
                  <c:pt idx="4">
                    <c:v>Incorrect Fare</c:v>
                  </c:pt>
                  <c:pt idx="5">
                    <c:v>Incorrect Tax</c:v>
                  </c:pt>
                  <c:pt idx="6">
                    <c:v>No-show violation</c:v>
                  </c:pt>
                  <c:pt idx="7">
                    <c:v>Under-collection</c:v>
                  </c:pt>
                  <c:pt idx="8">
                    <c:v>Incorrect Fare</c:v>
                  </c:pt>
                  <c:pt idx="9">
                    <c:v>Incorrect Tax</c:v>
                  </c:pt>
                  <c:pt idx="10">
                    <c:v>No-show violation</c:v>
                  </c:pt>
                  <c:pt idx="11">
                    <c:v>Under-collection</c:v>
                  </c:pt>
                  <c:pt idx="12">
                    <c:v>Incorrect Fare</c:v>
                  </c:pt>
                  <c:pt idx="13">
                    <c:v>Incorrect Tax</c:v>
                  </c:pt>
                  <c:pt idx="14">
                    <c:v>No-show violation</c:v>
                  </c:pt>
                  <c:pt idx="15">
                    <c:v>Under-collection</c:v>
                  </c:pt>
                  <c:pt idx="16">
                    <c:v>Incorrect Fare</c:v>
                  </c:pt>
                  <c:pt idx="17">
                    <c:v>Incorrect Tax</c:v>
                  </c:pt>
                  <c:pt idx="18">
                    <c:v>No-show violation</c:v>
                  </c:pt>
                  <c:pt idx="19">
                    <c:v>Under-collection</c:v>
                  </c:pt>
                </c:lvl>
                <c:lvl>
                  <c:pt idx="0">
                    <c:v>AGT001</c:v>
                  </c:pt>
                  <c:pt idx="4">
                    <c:v>AGT002</c:v>
                  </c:pt>
                  <c:pt idx="8">
                    <c:v>AGT003</c:v>
                  </c:pt>
                  <c:pt idx="12">
                    <c:v>AGT004</c:v>
                  </c:pt>
                  <c:pt idx="16">
                    <c:v>AGT005</c:v>
                  </c:pt>
                </c:lvl>
              </c:multiLvlStrCache>
            </c:multiLvlStrRef>
          </c:cat>
          <c:val>
            <c:numRef>
              <c:f>ADM_History!$B$106:$B$131</c:f>
              <c:numCache>
                <c:formatCode>General</c:formatCode>
                <c:ptCount val="20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2</c:v>
                </c:pt>
                <c:pt idx="14">
                  <c:v>5</c:v>
                </c:pt>
                <c:pt idx="15">
                  <c:v>4</c:v>
                </c:pt>
                <c:pt idx="16">
                  <c:v>8</c:v>
                </c:pt>
                <c:pt idx="17">
                  <c:v>8</c:v>
                </c:pt>
                <c:pt idx="18">
                  <c:v>4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8-4413-8730-8A96BD9CC9BD}"/>
            </c:ext>
          </c:extLst>
        </c:ser>
        <c:ser>
          <c:idx val="1"/>
          <c:order val="1"/>
          <c:tx>
            <c:strRef>
              <c:f>ADM_History!$C$105</c:f>
              <c:strCache>
                <c:ptCount val="1"/>
                <c:pt idx="0">
                  <c:v>Sum of ADMAmount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ADM_History!$A$106:$A$131</c:f>
              <c:multiLvlStrCache>
                <c:ptCount val="20"/>
                <c:lvl>
                  <c:pt idx="0">
                    <c:v>Incorrect Fare</c:v>
                  </c:pt>
                  <c:pt idx="1">
                    <c:v>Incorrect Tax</c:v>
                  </c:pt>
                  <c:pt idx="2">
                    <c:v>No-show violation</c:v>
                  </c:pt>
                  <c:pt idx="3">
                    <c:v>Under-collection</c:v>
                  </c:pt>
                  <c:pt idx="4">
                    <c:v>Incorrect Fare</c:v>
                  </c:pt>
                  <c:pt idx="5">
                    <c:v>Incorrect Tax</c:v>
                  </c:pt>
                  <c:pt idx="6">
                    <c:v>No-show violation</c:v>
                  </c:pt>
                  <c:pt idx="7">
                    <c:v>Under-collection</c:v>
                  </c:pt>
                  <c:pt idx="8">
                    <c:v>Incorrect Fare</c:v>
                  </c:pt>
                  <c:pt idx="9">
                    <c:v>Incorrect Tax</c:v>
                  </c:pt>
                  <c:pt idx="10">
                    <c:v>No-show violation</c:v>
                  </c:pt>
                  <c:pt idx="11">
                    <c:v>Under-collection</c:v>
                  </c:pt>
                  <c:pt idx="12">
                    <c:v>Incorrect Fare</c:v>
                  </c:pt>
                  <c:pt idx="13">
                    <c:v>Incorrect Tax</c:v>
                  </c:pt>
                  <c:pt idx="14">
                    <c:v>No-show violation</c:v>
                  </c:pt>
                  <c:pt idx="15">
                    <c:v>Under-collection</c:v>
                  </c:pt>
                  <c:pt idx="16">
                    <c:v>Incorrect Fare</c:v>
                  </c:pt>
                  <c:pt idx="17">
                    <c:v>Incorrect Tax</c:v>
                  </c:pt>
                  <c:pt idx="18">
                    <c:v>No-show violation</c:v>
                  </c:pt>
                  <c:pt idx="19">
                    <c:v>Under-collection</c:v>
                  </c:pt>
                </c:lvl>
                <c:lvl>
                  <c:pt idx="0">
                    <c:v>AGT001</c:v>
                  </c:pt>
                  <c:pt idx="4">
                    <c:v>AGT002</c:v>
                  </c:pt>
                  <c:pt idx="8">
                    <c:v>AGT003</c:v>
                  </c:pt>
                  <c:pt idx="12">
                    <c:v>AGT004</c:v>
                  </c:pt>
                  <c:pt idx="16">
                    <c:v>AGT005</c:v>
                  </c:pt>
                </c:lvl>
              </c:multiLvlStrCache>
            </c:multiLvlStrRef>
          </c:cat>
          <c:val>
            <c:numRef>
              <c:f>ADM_History!$C$106:$C$131</c:f>
              <c:numCache>
                <c:formatCode>_(* #,##0.00_);_(* \(#,##0.00\);_(* "-"??_);_(@_)</c:formatCode>
                <c:ptCount val="20"/>
                <c:pt idx="0">
                  <c:v>2375</c:v>
                </c:pt>
                <c:pt idx="1">
                  <c:v>1643</c:v>
                </c:pt>
                <c:pt idx="2">
                  <c:v>1165</c:v>
                </c:pt>
                <c:pt idx="3">
                  <c:v>1385</c:v>
                </c:pt>
                <c:pt idx="4">
                  <c:v>925</c:v>
                </c:pt>
                <c:pt idx="5">
                  <c:v>2026</c:v>
                </c:pt>
                <c:pt idx="6">
                  <c:v>797</c:v>
                </c:pt>
                <c:pt idx="7">
                  <c:v>878</c:v>
                </c:pt>
                <c:pt idx="8">
                  <c:v>1267</c:v>
                </c:pt>
                <c:pt idx="9">
                  <c:v>1671</c:v>
                </c:pt>
                <c:pt idx="10">
                  <c:v>1142</c:v>
                </c:pt>
                <c:pt idx="11">
                  <c:v>1184</c:v>
                </c:pt>
                <c:pt idx="12">
                  <c:v>999</c:v>
                </c:pt>
                <c:pt idx="13">
                  <c:v>536</c:v>
                </c:pt>
                <c:pt idx="14">
                  <c:v>1108</c:v>
                </c:pt>
                <c:pt idx="15">
                  <c:v>1091</c:v>
                </c:pt>
                <c:pt idx="16">
                  <c:v>2662</c:v>
                </c:pt>
                <c:pt idx="17">
                  <c:v>2781</c:v>
                </c:pt>
                <c:pt idx="18">
                  <c:v>891</c:v>
                </c:pt>
                <c:pt idx="19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8-4413-8730-8A96BD9CC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6442591"/>
        <c:axId val="646432511"/>
      </c:barChart>
      <c:catAx>
        <c:axId val="64644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32511"/>
        <c:crosses val="autoZero"/>
        <c:auto val="1"/>
        <c:lblAlgn val="ctr"/>
        <c:lblOffset val="100"/>
        <c:noMultiLvlLbl val="0"/>
      </c:catAx>
      <c:valAx>
        <c:axId val="64643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4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Project.xlsx]Bank_Receipts!PivotTable3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</a:t>
            </a:r>
            <a:r>
              <a:rPr lang="en-US" b="1" baseline="0"/>
              <a:t> Channel Breakdown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2511078286558346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Bank_Receipts!$B$504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Bank_Receipts!$A$505:$A$510</c:f>
              <c:strCache>
                <c:ptCount val="5"/>
                <c:pt idx="0">
                  <c:v>Amex</c:v>
                </c:pt>
                <c:pt idx="1">
                  <c:v>BankTransfer</c:v>
                </c:pt>
                <c:pt idx="2">
                  <c:v>Cash</c:v>
                </c:pt>
                <c:pt idx="3">
                  <c:v>Mastercard</c:v>
                </c:pt>
                <c:pt idx="4">
                  <c:v>Visa</c:v>
                </c:pt>
              </c:strCache>
            </c:strRef>
          </c:cat>
          <c:val>
            <c:numRef>
              <c:f>Bank_Receipts!$B$505:$B$510</c:f>
              <c:numCache>
                <c:formatCode>_(* #,##0.00_);_(* \(#,##0.00\);_(* "-"??_);_(@_)</c:formatCode>
                <c:ptCount val="5"/>
                <c:pt idx="0">
                  <c:v>144694</c:v>
                </c:pt>
                <c:pt idx="1">
                  <c:v>143344</c:v>
                </c:pt>
                <c:pt idx="2">
                  <c:v>133941</c:v>
                </c:pt>
                <c:pt idx="3">
                  <c:v>115497</c:v>
                </c:pt>
                <c:pt idx="4">
                  <c:v>112982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A-45EC-AEBA-9E153D18A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447871"/>
        <c:axId val="646446431"/>
      </c:barChart>
      <c:catAx>
        <c:axId val="6464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46431"/>
        <c:crosses val="autoZero"/>
        <c:auto val="1"/>
        <c:lblAlgn val="ctr"/>
        <c:lblOffset val="100"/>
        <c:noMultiLvlLbl val="0"/>
      </c:catAx>
      <c:valAx>
        <c:axId val="6464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4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Project.xlsx]Fare_Rules!PivotTable4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Fare_Rules!$B$28</c:f>
              <c:strCache>
                <c:ptCount val="1"/>
                <c:pt idx="0">
                  <c:v>Average of MinFare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Fare_Rules!$A$29:$A$35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Fare_Rules!$B$29:$B$35</c:f>
              <c:numCache>
                <c:formatCode>_(* #,##0.00_);_(* \(#,##0.00\);_(* "-"??_);_(@_)</c:formatCode>
                <c:ptCount val="6"/>
                <c:pt idx="0">
                  <c:v>658.25</c:v>
                </c:pt>
                <c:pt idx="1">
                  <c:v>771.75</c:v>
                </c:pt>
                <c:pt idx="2">
                  <c:v>888.75</c:v>
                </c:pt>
                <c:pt idx="3">
                  <c:v>657.5</c:v>
                </c:pt>
                <c:pt idx="4">
                  <c:v>744.25</c:v>
                </c:pt>
                <c:pt idx="5">
                  <c:v>793.75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2-4D00-BA4D-0037FC7EEC35}"/>
            </c:ext>
          </c:extLst>
        </c:ser>
        <c:ser>
          <c:idx val="1"/>
          <c:order val="1"/>
          <c:tx>
            <c:strRef>
              <c:f>Fare_Rules!$C$28</c:f>
              <c:strCache>
                <c:ptCount val="1"/>
                <c:pt idx="0">
                  <c:v>Average of Penalty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Fare_Rules!$A$29:$A$35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Fare_Rules!$C$29:$C$35</c:f>
              <c:numCache>
                <c:formatCode>_(* #,##0.00_);_(* \(#,##0.00\);_(* "-"??_);_(@_)</c:formatCode>
                <c:ptCount val="6"/>
                <c:pt idx="0">
                  <c:v>161</c:v>
                </c:pt>
                <c:pt idx="1">
                  <c:v>167.75</c:v>
                </c:pt>
                <c:pt idx="2">
                  <c:v>160.75</c:v>
                </c:pt>
                <c:pt idx="3">
                  <c:v>233.5</c:v>
                </c:pt>
                <c:pt idx="4">
                  <c:v>208.25</c:v>
                </c:pt>
                <c:pt idx="5">
                  <c:v>211.25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2-4D00-BA4D-0037FC7EE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404191"/>
        <c:axId val="646407071"/>
      </c:barChart>
      <c:catAx>
        <c:axId val="6464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07071"/>
        <c:crosses val="autoZero"/>
        <c:auto val="1"/>
        <c:lblAlgn val="ctr"/>
        <c:lblOffset val="100"/>
        <c:noMultiLvlLbl val="0"/>
      </c:catAx>
      <c:valAx>
        <c:axId val="64640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Project.xlsx]Refunds!PivotTable7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'Refunds'!$B$127:$B$128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'Refunds'!$A$129:$A$133</c:f>
              <c:strCache>
                <c:ptCount val="4"/>
                <c:pt idx="0">
                  <c:v>Customer Request</c:v>
                </c:pt>
                <c:pt idx="1">
                  <c:v>Duplicate Ticket</c:v>
                </c:pt>
                <c:pt idx="2">
                  <c:v>No-show</c:v>
                </c:pt>
                <c:pt idx="3">
                  <c:v>Schedule Change</c:v>
                </c:pt>
              </c:strCache>
            </c:strRef>
          </c:cat>
          <c:val>
            <c:numRef>
              <c:f>'Refunds'!$B$129:$B$133</c:f>
              <c:numCache>
                <c:formatCode>_(* #,##0.00_);_(* \(#,##0.00\);_(* "-"??_);_(@_)</c:formatCode>
                <c:ptCount val="4"/>
                <c:pt idx="0">
                  <c:v>7961.0392601260082</c:v>
                </c:pt>
                <c:pt idx="1">
                  <c:v>5065.400353539253</c:v>
                </c:pt>
                <c:pt idx="2">
                  <c:v>6761.794194983635</c:v>
                </c:pt>
                <c:pt idx="3">
                  <c:v>3749.4680564586097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E-44C5-A01E-6553ADF4A591}"/>
            </c:ext>
          </c:extLst>
        </c:ser>
        <c:ser>
          <c:idx val="1"/>
          <c:order val="1"/>
          <c:tx>
            <c:strRef>
              <c:f>'Refunds'!$C$127:$C$128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'Refunds'!$A$129:$A$133</c:f>
              <c:strCache>
                <c:ptCount val="4"/>
                <c:pt idx="0">
                  <c:v>Customer Request</c:v>
                </c:pt>
                <c:pt idx="1">
                  <c:v>Duplicate Ticket</c:v>
                </c:pt>
                <c:pt idx="2">
                  <c:v>No-show</c:v>
                </c:pt>
                <c:pt idx="3">
                  <c:v>Schedule Change</c:v>
                </c:pt>
              </c:strCache>
            </c:strRef>
          </c:cat>
          <c:val>
            <c:numRef>
              <c:f>'Refunds'!$C$129:$C$133</c:f>
              <c:numCache>
                <c:formatCode>_(* #,##0.00_);_(* \(#,##0.00\);_(* "-"??_);_(@_)</c:formatCode>
                <c:ptCount val="4"/>
                <c:pt idx="0">
                  <c:v>6396.4543444625542</c:v>
                </c:pt>
                <c:pt idx="1">
                  <c:v>4253.1059265826107</c:v>
                </c:pt>
                <c:pt idx="2">
                  <c:v>2549.9256703811907</c:v>
                </c:pt>
                <c:pt idx="3">
                  <c:v>5761.065863138876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E-44C5-A01E-6553ADF4A591}"/>
            </c:ext>
          </c:extLst>
        </c:ser>
        <c:ser>
          <c:idx val="2"/>
          <c:order val="2"/>
          <c:tx>
            <c:strRef>
              <c:f>'Refunds'!$D$127:$D$128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'Refunds'!$A$129:$A$133</c:f>
              <c:strCache>
                <c:ptCount val="4"/>
                <c:pt idx="0">
                  <c:v>Customer Request</c:v>
                </c:pt>
                <c:pt idx="1">
                  <c:v>Duplicate Ticket</c:v>
                </c:pt>
                <c:pt idx="2">
                  <c:v>No-show</c:v>
                </c:pt>
                <c:pt idx="3">
                  <c:v>Schedule Change</c:v>
                </c:pt>
              </c:strCache>
            </c:strRef>
          </c:cat>
          <c:val>
            <c:numRef>
              <c:f>'Refunds'!$D$129:$D$133</c:f>
              <c:numCache>
                <c:formatCode>_(* #,##0.00_);_(* \(#,##0.00\);_(* "-"??_);_(@_)</c:formatCode>
                <c:ptCount val="4"/>
                <c:pt idx="0">
                  <c:v>9401.4417919610769</c:v>
                </c:pt>
                <c:pt idx="1">
                  <c:v>8277.1147156867246</c:v>
                </c:pt>
                <c:pt idx="2">
                  <c:v>1979.1188891826976</c:v>
                </c:pt>
                <c:pt idx="3">
                  <c:v>6413.8821853619656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EE-44C5-A01E-6553ADF4A591}"/>
            </c:ext>
          </c:extLst>
        </c:ser>
        <c:ser>
          <c:idx val="3"/>
          <c:order val="3"/>
          <c:tx>
            <c:strRef>
              <c:f>'Refunds'!$E$127:$E$128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'Refunds'!$A$129:$A$133</c:f>
              <c:strCache>
                <c:ptCount val="4"/>
                <c:pt idx="0">
                  <c:v>Customer Request</c:v>
                </c:pt>
                <c:pt idx="1">
                  <c:v>Duplicate Ticket</c:v>
                </c:pt>
                <c:pt idx="2">
                  <c:v>No-show</c:v>
                </c:pt>
                <c:pt idx="3">
                  <c:v>Schedule Change</c:v>
                </c:pt>
              </c:strCache>
            </c:strRef>
          </c:cat>
          <c:val>
            <c:numRef>
              <c:f>'Refunds'!$E$129:$E$133</c:f>
              <c:numCache>
                <c:formatCode>_(* #,##0.00_);_(* \(#,##0.00\);_(* "-"??_);_(@_)</c:formatCode>
                <c:ptCount val="4"/>
                <c:pt idx="0">
                  <c:v>5594.8298132611644</c:v>
                </c:pt>
                <c:pt idx="1">
                  <c:v>4669.4369865381741</c:v>
                </c:pt>
                <c:pt idx="2">
                  <c:v>6817.8487958004725</c:v>
                </c:pt>
                <c:pt idx="3">
                  <c:v>3502.9022111748154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EE-44C5-A01E-6553ADF4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0320"/>
        <c:axId val="115432720"/>
      </c:barChart>
      <c:catAx>
        <c:axId val="11543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2720"/>
        <c:crosses val="autoZero"/>
        <c:auto val="1"/>
        <c:lblAlgn val="ctr"/>
        <c:lblOffset val="100"/>
        <c:noMultiLvlLbl val="0"/>
      </c:catAx>
      <c:valAx>
        <c:axId val="1154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Project.xlsx]Refunds!PivotTable13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'Refunds'!$B$155</c:f>
              <c:strCache>
                <c:ptCount val="1"/>
                <c:pt idx="0">
                  <c:v>Sum of RefundAmount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'Refunds'!$A$156:$A$161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'Refunds'!$B$156:$B$161</c:f>
              <c:numCache>
                <c:formatCode>_(* #,##0.00_);_(* \(#,##0.00\);_(* "-"??_);_(@_)</c:formatCode>
                <c:ptCount val="5"/>
                <c:pt idx="0">
                  <c:v>16717.941675902526</c:v>
                </c:pt>
                <c:pt idx="1">
                  <c:v>17209.982090884736</c:v>
                </c:pt>
                <c:pt idx="2">
                  <c:v>15664.928608815799</c:v>
                </c:pt>
                <c:pt idx="3">
                  <c:v>12905.508624558806</c:v>
                </c:pt>
                <c:pt idx="4">
                  <c:v>26656.468058477949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D-4B65-9C50-7B7EF8AEB91F}"/>
            </c:ext>
          </c:extLst>
        </c:ser>
        <c:ser>
          <c:idx val="1"/>
          <c:order val="1"/>
          <c:tx>
            <c:strRef>
              <c:f>'Refunds'!$C$155</c:f>
              <c:strCache>
                <c:ptCount val="1"/>
                <c:pt idx="0">
                  <c:v>Sum of FareCharged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'Refunds'!$A$156:$A$161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'Refunds'!$C$156:$C$161</c:f>
              <c:numCache>
                <c:formatCode>_(* #,##0.00_);_(* \(#,##0.00\);_(* "-"??_);_(@_)</c:formatCode>
                <c:ptCount val="5"/>
                <c:pt idx="0">
                  <c:v>23475</c:v>
                </c:pt>
                <c:pt idx="1">
                  <c:v>22209</c:v>
                </c:pt>
                <c:pt idx="2">
                  <c:v>21216</c:v>
                </c:pt>
                <c:pt idx="3">
                  <c:v>18622</c:v>
                </c:pt>
                <c:pt idx="4">
                  <c:v>35026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D-4B65-9C50-7B7EF8AEB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3680"/>
        <c:axId val="115422160"/>
      </c:barChart>
      <c:catAx>
        <c:axId val="11543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22160"/>
        <c:crosses val="autoZero"/>
        <c:auto val="1"/>
        <c:lblAlgn val="ctr"/>
        <c:lblOffset val="100"/>
        <c:noMultiLvlLbl val="0"/>
      </c:catAx>
      <c:valAx>
        <c:axId val="1154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Project.xlsx]Tickets_Sold!PivotTable15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Tickets_Sold!$B$516:$B$518</c:f>
              <c:strCache>
                <c:ptCount val="1"/>
                <c:pt idx="0">
                  <c:v>ADT - Count of TicketNumber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Tickets_Sold!$B$519:$B$523</c:f>
              <c:numCache>
                <c:formatCode>General</c:formatCode>
                <c:ptCount val="4"/>
                <c:pt idx="0">
                  <c:v>84</c:v>
                </c:pt>
                <c:pt idx="1">
                  <c:v>92</c:v>
                </c:pt>
                <c:pt idx="2">
                  <c:v>80</c:v>
                </c:pt>
                <c:pt idx="3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7-4992-973F-C53DDC9E5837}"/>
            </c:ext>
          </c:extLst>
        </c:ser>
        <c:ser>
          <c:idx val="1"/>
          <c:order val="1"/>
          <c:tx>
            <c:strRef>
              <c:f>Tickets_Sold!$C$516:$C$518</c:f>
              <c:strCache>
                <c:ptCount val="1"/>
                <c:pt idx="0">
                  <c:v>ADT - Average of FareCharged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Tickets_Sold!$C$519:$C$523</c:f>
              <c:numCache>
                <c:formatCode>_(* #,##0.00_);_(* \(#,##0.00\);_(* "-"??_);_(@_)</c:formatCode>
                <c:ptCount val="4"/>
                <c:pt idx="0">
                  <c:v>1045.9047619047619</c:v>
                </c:pt>
                <c:pt idx="1">
                  <c:v>1138.945652173913</c:v>
                </c:pt>
                <c:pt idx="2">
                  <c:v>1097.8</c:v>
                </c:pt>
                <c:pt idx="3">
                  <c:v>1056.2735849056603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7-4992-973F-C53DDC9E5837}"/>
            </c:ext>
          </c:extLst>
        </c:ser>
        <c:ser>
          <c:idx val="2"/>
          <c:order val="2"/>
          <c:tx>
            <c:strRef>
              <c:f>Tickets_Sold!$D$516:$D$518</c:f>
              <c:strCache>
                <c:ptCount val="1"/>
                <c:pt idx="0">
                  <c:v>ADT - Sum of FareCharged2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Tickets_Sold!$D$519:$D$523</c:f>
              <c:numCache>
                <c:formatCode>_(* #,##0.00_);_(* \(#,##0.00\);_(* "-"??_);_(@_)</c:formatCode>
                <c:ptCount val="4"/>
                <c:pt idx="0">
                  <c:v>87856</c:v>
                </c:pt>
                <c:pt idx="1">
                  <c:v>104783</c:v>
                </c:pt>
                <c:pt idx="2">
                  <c:v>87824</c:v>
                </c:pt>
                <c:pt idx="3">
                  <c:v>111965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57-4992-973F-C53DDC9E5837}"/>
            </c:ext>
          </c:extLst>
        </c:ser>
        <c:ser>
          <c:idx val="3"/>
          <c:order val="3"/>
          <c:tx>
            <c:strRef>
              <c:f>Tickets_Sold!$E$516:$E$518</c:f>
              <c:strCache>
                <c:ptCount val="1"/>
                <c:pt idx="0">
                  <c:v>CHD - Count of TicketNumber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Tickets_Sold!$E$519:$E$523</c:f>
              <c:numCache>
                <c:formatCode>_(* #,##0.00_);_(* \(#,##0.00\);_(* "-"??_);_(@_)</c:formatCode>
                <c:ptCount val="4"/>
                <c:pt idx="0">
                  <c:v>18</c:v>
                </c:pt>
                <c:pt idx="1">
                  <c:v>15</c:v>
                </c:pt>
                <c:pt idx="2">
                  <c:v>28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57-4992-973F-C53DDC9E5837}"/>
            </c:ext>
          </c:extLst>
        </c:ser>
        <c:ser>
          <c:idx val="4"/>
          <c:order val="4"/>
          <c:tx>
            <c:strRef>
              <c:f>Tickets_Sold!$F$516:$F$518</c:f>
              <c:strCache>
                <c:ptCount val="1"/>
                <c:pt idx="0">
                  <c:v>CHD - Average of FareCharged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Tickets_Sold!$F$519:$F$523</c:f>
              <c:numCache>
                <c:formatCode>_(* #,##0.00_);_(* \(#,##0.00\);_(* "-"??_);_(@_)</c:formatCode>
                <c:ptCount val="4"/>
                <c:pt idx="0">
                  <c:v>939.16666666666663</c:v>
                </c:pt>
                <c:pt idx="1">
                  <c:v>1025.5999999999999</c:v>
                </c:pt>
                <c:pt idx="2">
                  <c:v>1218.8928571428571</c:v>
                </c:pt>
                <c:pt idx="3">
                  <c:v>1007.5666666666667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57-4992-973F-C53DDC9E5837}"/>
            </c:ext>
          </c:extLst>
        </c:ser>
        <c:ser>
          <c:idx val="5"/>
          <c:order val="5"/>
          <c:tx>
            <c:strRef>
              <c:f>Tickets_Sold!$G$516:$G$518</c:f>
              <c:strCache>
                <c:ptCount val="1"/>
                <c:pt idx="0">
                  <c:v>CHD - Sum of FareCharged2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Tickets_Sold!$G$519:$G$523</c:f>
              <c:numCache>
                <c:formatCode>_(* #,##0.00_);_(* \(#,##0.00\);_(* "-"??_);_(@_)</c:formatCode>
                <c:ptCount val="4"/>
                <c:pt idx="0">
                  <c:v>16905</c:v>
                </c:pt>
                <c:pt idx="1">
                  <c:v>15384</c:v>
                </c:pt>
                <c:pt idx="2">
                  <c:v>34129</c:v>
                </c:pt>
                <c:pt idx="3">
                  <c:v>30227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57-4992-973F-C53DDC9E5837}"/>
            </c:ext>
          </c:extLst>
        </c:ser>
        <c:ser>
          <c:idx val="6"/>
          <c:order val="6"/>
          <c:tx>
            <c:strRef>
              <c:f>Tickets_Sold!$H$516:$H$518</c:f>
              <c:strCache>
                <c:ptCount val="1"/>
                <c:pt idx="0">
                  <c:v>INF - Count of TicketNumber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Tickets_Sold!$H$519:$H$523</c:f>
              <c:numCache>
                <c:formatCode>_(* #,##0.00_);_(* \(#,##0.00\);_(* "-"??_);_(@_)</c:formatCode>
                <c:ptCount val="4"/>
                <c:pt idx="0">
                  <c:v>14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57-4992-973F-C53DDC9E5837}"/>
            </c:ext>
          </c:extLst>
        </c:ser>
        <c:ser>
          <c:idx val="7"/>
          <c:order val="7"/>
          <c:tx>
            <c:strRef>
              <c:f>Tickets_Sold!$I$516:$I$518</c:f>
              <c:strCache>
                <c:ptCount val="1"/>
                <c:pt idx="0">
                  <c:v>INF - Average of FareCharged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Tickets_Sold!$I$519:$I$523</c:f>
              <c:numCache>
                <c:formatCode>_(* #,##0.00_);_(* \(#,##0.00\);_(* "-"??_);_(@_)</c:formatCode>
                <c:ptCount val="4"/>
                <c:pt idx="0">
                  <c:v>774.14285714285711</c:v>
                </c:pt>
                <c:pt idx="1">
                  <c:v>1233.7</c:v>
                </c:pt>
                <c:pt idx="2">
                  <c:v>1128.4545454545455</c:v>
                </c:pt>
                <c:pt idx="3">
                  <c:v>929.91666666666663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57-4992-973F-C53DDC9E5837}"/>
            </c:ext>
          </c:extLst>
        </c:ser>
        <c:ser>
          <c:idx val="8"/>
          <c:order val="8"/>
          <c:tx>
            <c:strRef>
              <c:f>Tickets_Sold!$J$516:$J$518</c:f>
              <c:strCache>
                <c:ptCount val="1"/>
                <c:pt idx="0">
                  <c:v>INF - Sum of FareCharged2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Tickets_Sold!$J$519:$J$523</c:f>
              <c:numCache>
                <c:formatCode>_(* #,##0.00_);_(* \(#,##0.00\);_(* "-"??_);_(@_)</c:formatCode>
                <c:ptCount val="4"/>
                <c:pt idx="0">
                  <c:v>10838</c:v>
                </c:pt>
                <c:pt idx="1">
                  <c:v>12337</c:v>
                </c:pt>
                <c:pt idx="2">
                  <c:v>12413</c:v>
                </c:pt>
                <c:pt idx="3">
                  <c:v>11159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57-4992-973F-C53DDC9E5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8960"/>
        <c:axId val="115439440"/>
      </c:barChart>
      <c:catAx>
        <c:axId val="11543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9440"/>
        <c:crosses val="autoZero"/>
        <c:auto val="1"/>
        <c:lblAlgn val="ctr"/>
        <c:lblOffset val="100"/>
        <c:noMultiLvlLbl val="0"/>
      </c:catAx>
      <c:valAx>
        <c:axId val="1154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Project.xlsx]Tickets_Sold!PivotTable16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Tickets_Sold!$B$546</c:f>
              <c:strCache>
                <c:ptCount val="1"/>
                <c:pt idx="0">
                  <c:v>Sum of Taxes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Tickets_Sold!$A$547:$A$552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Tickets_Sold!$B$547:$B$552</c:f>
              <c:numCache>
                <c:formatCode>_(* #,##0.00_);_(* \(#,##0.00\);_(* "-"??_);_(@_)</c:formatCode>
                <c:ptCount val="5"/>
                <c:pt idx="0">
                  <c:v>32742</c:v>
                </c:pt>
                <c:pt idx="1">
                  <c:v>24621</c:v>
                </c:pt>
                <c:pt idx="2">
                  <c:v>27579</c:v>
                </c:pt>
                <c:pt idx="3">
                  <c:v>29471</c:v>
                </c:pt>
                <c:pt idx="4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B-420C-801C-A6FD4584A0C6}"/>
            </c:ext>
          </c:extLst>
        </c:ser>
        <c:ser>
          <c:idx val="1"/>
          <c:order val="1"/>
          <c:tx>
            <c:strRef>
              <c:f>Tickets_Sold!$C$546</c:f>
              <c:strCache>
                <c:ptCount val="1"/>
                <c:pt idx="0">
                  <c:v>Sum of FareCharged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Tickets_Sold!$A$547:$A$552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Tickets_Sold!$C$547:$C$552</c:f>
              <c:numCache>
                <c:formatCode>_(* #,##0.00_);_(* \(#,##0.00\);_(* "-"??_);_(@_)</c:formatCode>
                <c:ptCount val="5"/>
                <c:pt idx="0">
                  <c:v>144268</c:v>
                </c:pt>
                <c:pt idx="1">
                  <c:v>111330</c:v>
                </c:pt>
                <c:pt idx="2">
                  <c:v>132648</c:v>
                </c:pt>
                <c:pt idx="3">
                  <c:v>142002</c:v>
                </c:pt>
                <c:pt idx="4">
                  <c:v>5572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B-420C-801C-A6FD4584A0C6}"/>
            </c:ext>
          </c:extLst>
        </c:ser>
        <c:ser>
          <c:idx val="2"/>
          <c:order val="2"/>
          <c:tx>
            <c:strRef>
              <c:f>Tickets_Sold!$D$546</c:f>
              <c:strCache>
                <c:ptCount val="1"/>
                <c:pt idx="0">
                  <c:v>Count of TicketNumber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Tickets_Sold!$A$547:$A$552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Tickets_Sold!$D$547:$D$552</c:f>
              <c:numCache>
                <c:formatCode>_(* #,##0.00_);_(* \(#,##0.00\);_(* "-"??_);_(@_)</c:formatCode>
                <c:ptCount val="5"/>
                <c:pt idx="0">
                  <c:v>139</c:v>
                </c:pt>
                <c:pt idx="1">
                  <c:v>102</c:v>
                </c:pt>
                <c:pt idx="2">
                  <c:v>118</c:v>
                </c:pt>
                <c:pt idx="3">
                  <c:v>136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9B-420C-801C-A6FD4584A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03920"/>
        <c:axId val="115387600"/>
      </c:barChart>
      <c:catAx>
        <c:axId val="11540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7600"/>
        <c:crosses val="autoZero"/>
        <c:auto val="1"/>
        <c:lblAlgn val="ctr"/>
        <c:lblOffset val="100"/>
        <c:noMultiLvlLbl val="0"/>
      </c:catAx>
      <c:valAx>
        <c:axId val="11538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Project.xlsx]Tickets_Sold!PivotTable17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Tickets_Sold!$B$574</c:f>
              <c:strCache>
                <c:ptCount val="1"/>
                <c:pt idx="0">
                  <c:v>Average of FareCharged2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Tickets_Sold!$A$575:$A$580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Tickets_Sold!$B$575:$B$580</c:f>
              <c:numCache>
                <c:formatCode>_(* #,##0.00_);_(* \(#,##0.00\);_(* "-"??_);_(@_)</c:formatCode>
                <c:ptCount val="5"/>
                <c:pt idx="0">
                  <c:v>1092.4680851063829</c:v>
                </c:pt>
                <c:pt idx="1">
                  <c:v>1059.7128712871288</c:v>
                </c:pt>
                <c:pt idx="2">
                  <c:v>967.8089887640449</c:v>
                </c:pt>
                <c:pt idx="3">
                  <c:v>1155.2407407407406</c:v>
                </c:pt>
                <c:pt idx="4">
                  <c:v>1066.6296296296296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8-4779-BE92-180377A32709}"/>
            </c:ext>
          </c:extLst>
        </c:ser>
        <c:ser>
          <c:idx val="1"/>
          <c:order val="1"/>
          <c:tx>
            <c:strRef>
              <c:f>Tickets_Sold!$C$574</c:f>
              <c:strCache>
                <c:ptCount val="1"/>
                <c:pt idx="0">
                  <c:v>Sum of FareCharged3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Tickets_Sold!$A$575:$A$580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Tickets_Sold!$C$575:$C$580</c:f>
              <c:numCache>
                <c:formatCode>_(* #,##0.00_);_(* \(#,##0.00\);_(* "-"??_);_(@_)</c:formatCode>
                <c:ptCount val="5"/>
                <c:pt idx="0">
                  <c:v>102692</c:v>
                </c:pt>
                <c:pt idx="1">
                  <c:v>107031</c:v>
                </c:pt>
                <c:pt idx="2">
                  <c:v>86135</c:v>
                </c:pt>
                <c:pt idx="3">
                  <c:v>124766</c:v>
                </c:pt>
                <c:pt idx="4">
                  <c:v>115196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78-4779-BE92-180377A32709}"/>
            </c:ext>
          </c:extLst>
        </c:ser>
        <c:ser>
          <c:idx val="2"/>
          <c:order val="2"/>
          <c:tx>
            <c:strRef>
              <c:f>Tickets_Sold!$D$574</c:f>
              <c:strCache>
                <c:ptCount val="1"/>
                <c:pt idx="0">
                  <c:v>Count of TicketNumber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Tickets_Sold!$A$575:$A$580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Tickets_Sold!$D$575:$D$580</c:f>
              <c:numCache>
                <c:formatCode>_(* #,##0.00_);_(* \(#,##0.00\);_(* "-"??_);_(@_)</c:formatCode>
                <c:ptCount val="5"/>
                <c:pt idx="0">
                  <c:v>94</c:v>
                </c:pt>
                <c:pt idx="1">
                  <c:v>101</c:v>
                </c:pt>
                <c:pt idx="2">
                  <c:v>89</c:v>
                </c:pt>
                <c:pt idx="3">
                  <c:v>108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78-4779-BE92-180377A32709}"/>
            </c:ext>
          </c:extLst>
        </c:ser>
        <c:ser>
          <c:idx val="3"/>
          <c:order val="3"/>
          <c:tx>
            <c:strRef>
              <c:f>Tickets_Sold!$E$574</c:f>
              <c:strCache>
                <c:ptCount val="1"/>
                <c:pt idx="0">
                  <c:v>Max of FareCharged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Tickets_Sold!$A$575:$A$580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Tickets_Sold!$E$575:$E$580</c:f>
              <c:numCache>
                <c:formatCode>_(* #,##0.00_);_(* \(#,##0.00\);_(* "-"??_);_(@_)</c:formatCode>
                <c:ptCount val="5"/>
                <c:pt idx="0">
                  <c:v>1947</c:v>
                </c:pt>
                <c:pt idx="1">
                  <c:v>1985</c:v>
                </c:pt>
                <c:pt idx="2">
                  <c:v>1973</c:v>
                </c:pt>
                <c:pt idx="3">
                  <c:v>1990</c:v>
                </c:pt>
                <c:pt idx="4">
                  <c:v>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78-4779-BE92-180377A32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93840"/>
        <c:axId val="115394320"/>
      </c:barChart>
      <c:catAx>
        <c:axId val="11539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4320"/>
        <c:crosses val="autoZero"/>
        <c:auto val="1"/>
        <c:lblAlgn val="ctr"/>
        <c:lblOffset val="100"/>
        <c:noMultiLvlLbl val="0"/>
      </c:catAx>
      <c:valAx>
        <c:axId val="11539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Project.xlsx]Refunds Compliance Dashboard!PivotTable1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'Refunds Compliance Dashboard'!$B$126</c:f>
              <c:strCache>
                <c:ptCount val="1"/>
                <c:pt idx="0">
                  <c:v>Average of Refund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'Refunds Compliance Dashboard'!$A$127:$A$133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'Refunds Compliance Dashboard'!$B$127:$B$133</c:f>
              <c:numCache>
                <c:formatCode>0%</c:formatCode>
                <c:ptCount val="6"/>
                <c:pt idx="0">
                  <c:v>0.72708543651991897</c:v>
                </c:pt>
                <c:pt idx="1">
                  <c:v>0.78329270078192148</c:v>
                </c:pt>
                <c:pt idx="2">
                  <c:v>0.72305911335725648</c:v>
                </c:pt>
                <c:pt idx="3">
                  <c:v>0.77631217583729828</c:v>
                </c:pt>
                <c:pt idx="4">
                  <c:v>0.74716119587126328</c:v>
                </c:pt>
                <c:pt idx="5">
                  <c:v>0.69369297319812939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C-4F45-AEE6-0A38BB00D031}"/>
            </c:ext>
          </c:extLst>
        </c:ser>
        <c:ser>
          <c:idx val="1"/>
          <c:order val="1"/>
          <c:tx>
            <c:strRef>
              <c:f>'Refunds Compliance Dashboard'!$C$126</c:f>
              <c:strCache>
                <c:ptCount val="1"/>
                <c:pt idx="0">
                  <c:v>Sum of Refund Turnaround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'Refunds Compliance Dashboard'!$A$127:$A$133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'Refunds Compliance Dashboard'!$C$127:$C$133</c:f>
              <c:numCache>
                <c:formatCode>General</c:formatCode>
                <c:ptCount val="6"/>
                <c:pt idx="0">
                  <c:v>-352</c:v>
                </c:pt>
                <c:pt idx="1">
                  <c:v>-510</c:v>
                </c:pt>
                <c:pt idx="2">
                  <c:v>-498</c:v>
                </c:pt>
                <c:pt idx="3">
                  <c:v>-273</c:v>
                </c:pt>
                <c:pt idx="4">
                  <c:v>-595</c:v>
                </c:pt>
                <c:pt idx="5">
                  <c:v>-484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9C-4F45-AEE6-0A38BB00D031}"/>
            </c:ext>
          </c:extLst>
        </c:ser>
        <c:ser>
          <c:idx val="2"/>
          <c:order val="2"/>
          <c:tx>
            <c:strRef>
              <c:f>'Refunds Compliance Dashboard'!$D$126</c:f>
              <c:strCache>
                <c:ptCount val="1"/>
                <c:pt idx="0">
                  <c:v>Count of Refund Policy Violation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'Refunds Compliance Dashboard'!$A$127:$A$133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'Refunds Compliance Dashboard'!$D$127:$D$133</c:f>
              <c:numCache>
                <c:formatCode>General</c:formatCode>
                <c:ptCount val="6"/>
                <c:pt idx="0">
                  <c:v>14</c:v>
                </c:pt>
                <c:pt idx="1">
                  <c:v>21</c:v>
                </c:pt>
                <c:pt idx="2">
                  <c:v>23</c:v>
                </c:pt>
                <c:pt idx="3">
                  <c:v>15</c:v>
                </c:pt>
                <c:pt idx="4">
                  <c:v>28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9C-4F45-AEE6-0A38BB0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6405151"/>
        <c:axId val="646403231"/>
      </c:barChart>
      <c:catAx>
        <c:axId val="64640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03231"/>
        <c:crosses val="autoZero"/>
        <c:auto val="1"/>
        <c:lblAlgn val="ctr"/>
        <c:lblOffset val="100"/>
        <c:noMultiLvlLbl val="0"/>
      </c:catAx>
      <c:valAx>
        <c:axId val="64640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0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Project.xlsx]ADM_History!PivotTable2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ADM_History!$B$105</c:f>
              <c:strCache>
                <c:ptCount val="1"/>
                <c:pt idx="0">
                  <c:v>Count of TicketNumber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ADM_History!$A$106:$A$131</c:f>
              <c:multiLvlStrCache>
                <c:ptCount val="20"/>
                <c:lvl>
                  <c:pt idx="0">
                    <c:v>Incorrect Fare</c:v>
                  </c:pt>
                  <c:pt idx="1">
                    <c:v>Incorrect Tax</c:v>
                  </c:pt>
                  <c:pt idx="2">
                    <c:v>No-show violation</c:v>
                  </c:pt>
                  <c:pt idx="3">
                    <c:v>Under-collection</c:v>
                  </c:pt>
                  <c:pt idx="4">
                    <c:v>Incorrect Fare</c:v>
                  </c:pt>
                  <c:pt idx="5">
                    <c:v>Incorrect Tax</c:v>
                  </c:pt>
                  <c:pt idx="6">
                    <c:v>No-show violation</c:v>
                  </c:pt>
                  <c:pt idx="7">
                    <c:v>Under-collection</c:v>
                  </c:pt>
                  <c:pt idx="8">
                    <c:v>Incorrect Fare</c:v>
                  </c:pt>
                  <c:pt idx="9">
                    <c:v>Incorrect Tax</c:v>
                  </c:pt>
                  <c:pt idx="10">
                    <c:v>No-show violation</c:v>
                  </c:pt>
                  <c:pt idx="11">
                    <c:v>Under-collection</c:v>
                  </c:pt>
                  <c:pt idx="12">
                    <c:v>Incorrect Fare</c:v>
                  </c:pt>
                  <c:pt idx="13">
                    <c:v>Incorrect Tax</c:v>
                  </c:pt>
                  <c:pt idx="14">
                    <c:v>No-show violation</c:v>
                  </c:pt>
                  <c:pt idx="15">
                    <c:v>Under-collection</c:v>
                  </c:pt>
                  <c:pt idx="16">
                    <c:v>Incorrect Fare</c:v>
                  </c:pt>
                  <c:pt idx="17">
                    <c:v>Incorrect Tax</c:v>
                  </c:pt>
                  <c:pt idx="18">
                    <c:v>No-show violation</c:v>
                  </c:pt>
                  <c:pt idx="19">
                    <c:v>Under-collection</c:v>
                  </c:pt>
                </c:lvl>
                <c:lvl>
                  <c:pt idx="0">
                    <c:v>AGT001</c:v>
                  </c:pt>
                  <c:pt idx="4">
                    <c:v>AGT002</c:v>
                  </c:pt>
                  <c:pt idx="8">
                    <c:v>AGT003</c:v>
                  </c:pt>
                  <c:pt idx="12">
                    <c:v>AGT004</c:v>
                  </c:pt>
                  <c:pt idx="16">
                    <c:v>AGT005</c:v>
                  </c:pt>
                </c:lvl>
              </c:multiLvlStrCache>
            </c:multiLvlStrRef>
          </c:cat>
          <c:val>
            <c:numRef>
              <c:f>ADM_History!$B$106:$B$131</c:f>
              <c:numCache>
                <c:formatCode>General</c:formatCode>
                <c:ptCount val="20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2</c:v>
                </c:pt>
                <c:pt idx="14">
                  <c:v>5</c:v>
                </c:pt>
                <c:pt idx="15">
                  <c:v>4</c:v>
                </c:pt>
                <c:pt idx="16">
                  <c:v>8</c:v>
                </c:pt>
                <c:pt idx="17">
                  <c:v>8</c:v>
                </c:pt>
                <c:pt idx="18">
                  <c:v>4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9-4BAC-9DE0-6B95173BFBBE}"/>
            </c:ext>
          </c:extLst>
        </c:ser>
        <c:ser>
          <c:idx val="1"/>
          <c:order val="1"/>
          <c:tx>
            <c:strRef>
              <c:f>ADM_History!$C$105</c:f>
              <c:strCache>
                <c:ptCount val="1"/>
                <c:pt idx="0">
                  <c:v>Sum of ADMAmount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ADM_History!$A$106:$A$131</c:f>
              <c:multiLvlStrCache>
                <c:ptCount val="20"/>
                <c:lvl>
                  <c:pt idx="0">
                    <c:v>Incorrect Fare</c:v>
                  </c:pt>
                  <c:pt idx="1">
                    <c:v>Incorrect Tax</c:v>
                  </c:pt>
                  <c:pt idx="2">
                    <c:v>No-show violation</c:v>
                  </c:pt>
                  <c:pt idx="3">
                    <c:v>Under-collection</c:v>
                  </c:pt>
                  <c:pt idx="4">
                    <c:v>Incorrect Fare</c:v>
                  </c:pt>
                  <c:pt idx="5">
                    <c:v>Incorrect Tax</c:v>
                  </c:pt>
                  <c:pt idx="6">
                    <c:v>No-show violation</c:v>
                  </c:pt>
                  <c:pt idx="7">
                    <c:v>Under-collection</c:v>
                  </c:pt>
                  <c:pt idx="8">
                    <c:v>Incorrect Fare</c:v>
                  </c:pt>
                  <c:pt idx="9">
                    <c:v>Incorrect Tax</c:v>
                  </c:pt>
                  <c:pt idx="10">
                    <c:v>No-show violation</c:v>
                  </c:pt>
                  <c:pt idx="11">
                    <c:v>Under-collection</c:v>
                  </c:pt>
                  <c:pt idx="12">
                    <c:v>Incorrect Fare</c:v>
                  </c:pt>
                  <c:pt idx="13">
                    <c:v>Incorrect Tax</c:v>
                  </c:pt>
                  <c:pt idx="14">
                    <c:v>No-show violation</c:v>
                  </c:pt>
                  <c:pt idx="15">
                    <c:v>Under-collection</c:v>
                  </c:pt>
                  <c:pt idx="16">
                    <c:v>Incorrect Fare</c:v>
                  </c:pt>
                  <c:pt idx="17">
                    <c:v>Incorrect Tax</c:v>
                  </c:pt>
                  <c:pt idx="18">
                    <c:v>No-show violation</c:v>
                  </c:pt>
                  <c:pt idx="19">
                    <c:v>Under-collection</c:v>
                  </c:pt>
                </c:lvl>
                <c:lvl>
                  <c:pt idx="0">
                    <c:v>AGT001</c:v>
                  </c:pt>
                  <c:pt idx="4">
                    <c:v>AGT002</c:v>
                  </c:pt>
                  <c:pt idx="8">
                    <c:v>AGT003</c:v>
                  </c:pt>
                  <c:pt idx="12">
                    <c:v>AGT004</c:v>
                  </c:pt>
                  <c:pt idx="16">
                    <c:v>AGT005</c:v>
                  </c:pt>
                </c:lvl>
              </c:multiLvlStrCache>
            </c:multiLvlStrRef>
          </c:cat>
          <c:val>
            <c:numRef>
              <c:f>ADM_History!$C$106:$C$131</c:f>
              <c:numCache>
                <c:formatCode>_(* #,##0.00_);_(* \(#,##0.00\);_(* "-"??_);_(@_)</c:formatCode>
                <c:ptCount val="20"/>
                <c:pt idx="0">
                  <c:v>2375</c:v>
                </c:pt>
                <c:pt idx="1">
                  <c:v>1643</c:v>
                </c:pt>
                <c:pt idx="2">
                  <c:v>1165</c:v>
                </c:pt>
                <c:pt idx="3">
                  <c:v>1385</c:v>
                </c:pt>
                <c:pt idx="4">
                  <c:v>925</c:v>
                </c:pt>
                <c:pt idx="5">
                  <c:v>2026</c:v>
                </c:pt>
                <c:pt idx="6">
                  <c:v>797</c:v>
                </c:pt>
                <c:pt idx="7">
                  <c:v>878</c:v>
                </c:pt>
                <c:pt idx="8">
                  <c:v>1267</c:v>
                </c:pt>
                <c:pt idx="9">
                  <c:v>1671</c:v>
                </c:pt>
                <c:pt idx="10">
                  <c:v>1142</c:v>
                </c:pt>
                <c:pt idx="11">
                  <c:v>1184</c:v>
                </c:pt>
                <c:pt idx="12">
                  <c:v>999</c:v>
                </c:pt>
                <c:pt idx="13">
                  <c:v>536</c:v>
                </c:pt>
                <c:pt idx="14">
                  <c:v>1108</c:v>
                </c:pt>
                <c:pt idx="15">
                  <c:v>1091</c:v>
                </c:pt>
                <c:pt idx="16">
                  <c:v>2662</c:v>
                </c:pt>
                <c:pt idx="17">
                  <c:v>2781</c:v>
                </c:pt>
                <c:pt idx="18">
                  <c:v>891</c:v>
                </c:pt>
                <c:pt idx="19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9-4BAC-9DE0-6B95173B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6442591"/>
        <c:axId val="646432511"/>
      </c:barChart>
      <c:catAx>
        <c:axId val="64644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32511"/>
        <c:crosses val="autoZero"/>
        <c:auto val="1"/>
        <c:lblAlgn val="ctr"/>
        <c:lblOffset val="100"/>
        <c:noMultiLvlLbl val="0"/>
      </c:catAx>
      <c:valAx>
        <c:axId val="64643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4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Project.xlsx]Bank_Receipts!PivotTable3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Bank_Receipts!$B$504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Bank_Receipts!$A$505:$A$510</c:f>
              <c:strCache>
                <c:ptCount val="5"/>
                <c:pt idx="0">
                  <c:v>Amex</c:v>
                </c:pt>
                <c:pt idx="1">
                  <c:v>BankTransfer</c:v>
                </c:pt>
                <c:pt idx="2">
                  <c:v>Cash</c:v>
                </c:pt>
                <c:pt idx="3">
                  <c:v>Mastercard</c:v>
                </c:pt>
                <c:pt idx="4">
                  <c:v>Visa</c:v>
                </c:pt>
              </c:strCache>
            </c:strRef>
          </c:cat>
          <c:val>
            <c:numRef>
              <c:f>Bank_Receipts!$B$505:$B$510</c:f>
              <c:numCache>
                <c:formatCode>_(* #,##0.00_);_(* \(#,##0.00\);_(* "-"??_);_(@_)</c:formatCode>
                <c:ptCount val="5"/>
                <c:pt idx="0">
                  <c:v>144694</c:v>
                </c:pt>
                <c:pt idx="1">
                  <c:v>143344</c:v>
                </c:pt>
                <c:pt idx="2">
                  <c:v>133941</c:v>
                </c:pt>
                <c:pt idx="3">
                  <c:v>115497</c:v>
                </c:pt>
                <c:pt idx="4">
                  <c:v>112982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8-4BBE-A867-D307549FE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447871"/>
        <c:axId val="646446431"/>
      </c:barChart>
      <c:catAx>
        <c:axId val="6464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46431"/>
        <c:crosses val="autoZero"/>
        <c:auto val="1"/>
        <c:lblAlgn val="ctr"/>
        <c:lblOffset val="100"/>
        <c:noMultiLvlLbl val="0"/>
      </c:catAx>
      <c:valAx>
        <c:axId val="6464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4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Project.xlsx]Fare_Rules!PivotTable4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Fare_Rules!$B$28</c:f>
              <c:strCache>
                <c:ptCount val="1"/>
                <c:pt idx="0">
                  <c:v>Average of MinFare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Fare_Rules!$A$29:$A$35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Fare_Rules!$B$29:$B$35</c:f>
              <c:numCache>
                <c:formatCode>_(* #,##0.00_);_(* \(#,##0.00\);_(* "-"??_);_(@_)</c:formatCode>
                <c:ptCount val="6"/>
                <c:pt idx="0">
                  <c:v>658.25</c:v>
                </c:pt>
                <c:pt idx="1">
                  <c:v>771.75</c:v>
                </c:pt>
                <c:pt idx="2">
                  <c:v>888.75</c:v>
                </c:pt>
                <c:pt idx="3">
                  <c:v>657.5</c:v>
                </c:pt>
                <c:pt idx="4">
                  <c:v>744.25</c:v>
                </c:pt>
                <c:pt idx="5">
                  <c:v>793.75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0-461D-BF06-3E2415139C06}"/>
            </c:ext>
          </c:extLst>
        </c:ser>
        <c:ser>
          <c:idx val="1"/>
          <c:order val="1"/>
          <c:tx>
            <c:strRef>
              <c:f>Fare_Rules!$C$28</c:f>
              <c:strCache>
                <c:ptCount val="1"/>
                <c:pt idx="0">
                  <c:v>Average of Penalty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Fare_Rules!$A$29:$A$35</c:f>
              <c:strCache>
                <c:ptCount val="6"/>
                <c:pt idx="0">
                  <c:v>DXB-BOM</c:v>
                </c:pt>
                <c:pt idx="1">
                  <c:v>DXB-CGK</c:v>
                </c:pt>
                <c:pt idx="2">
                  <c:v>DXB-JFK</c:v>
                </c:pt>
                <c:pt idx="3">
                  <c:v>DXB-LHR</c:v>
                </c:pt>
                <c:pt idx="4">
                  <c:v>DXB-MAA</c:v>
                </c:pt>
                <c:pt idx="5">
                  <c:v>DXB-NBO</c:v>
                </c:pt>
              </c:strCache>
            </c:strRef>
          </c:cat>
          <c:val>
            <c:numRef>
              <c:f>Fare_Rules!$C$29:$C$35</c:f>
              <c:numCache>
                <c:formatCode>_(* #,##0.00_);_(* \(#,##0.00\);_(* "-"??_);_(@_)</c:formatCode>
                <c:ptCount val="6"/>
                <c:pt idx="0">
                  <c:v>161</c:v>
                </c:pt>
                <c:pt idx="1">
                  <c:v>167.75</c:v>
                </c:pt>
                <c:pt idx="2">
                  <c:v>160.75</c:v>
                </c:pt>
                <c:pt idx="3">
                  <c:v>233.5</c:v>
                </c:pt>
                <c:pt idx="4">
                  <c:v>208.25</c:v>
                </c:pt>
                <c:pt idx="5">
                  <c:v>211.25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0-461D-BF06-3E2415139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404191"/>
        <c:axId val="646407071"/>
      </c:barChart>
      <c:catAx>
        <c:axId val="6464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07071"/>
        <c:crosses val="autoZero"/>
        <c:auto val="1"/>
        <c:lblAlgn val="ctr"/>
        <c:lblOffset val="100"/>
        <c:noMultiLvlLbl val="0"/>
      </c:catAx>
      <c:valAx>
        <c:axId val="64640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4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Project.xlsx]Fare_Rules!PivotTable6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Fare_Rules!$B$56</c:f>
              <c:strCache>
                <c:ptCount val="1"/>
                <c:pt idx="0">
                  <c:v>Count of Refundable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Fare_Rules!$A$57:$A$61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Fare_Rules!$B$57:$B$61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D-4765-B3DD-128A1BECEC6E}"/>
            </c:ext>
          </c:extLst>
        </c:ser>
        <c:ser>
          <c:idx val="1"/>
          <c:order val="1"/>
          <c:tx>
            <c:strRef>
              <c:f>Fare_Rules!$C$56</c:f>
              <c:strCache>
                <c:ptCount val="1"/>
                <c:pt idx="0">
                  <c:v>Average of MinFare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Fare_Rules!$A$57:$A$61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Fare_Rules!$C$57:$C$61</c:f>
              <c:numCache>
                <c:formatCode>General</c:formatCode>
                <c:ptCount val="4"/>
                <c:pt idx="0">
                  <c:v>882.33333333333337</c:v>
                </c:pt>
                <c:pt idx="1">
                  <c:v>733</c:v>
                </c:pt>
                <c:pt idx="2">
                  <c:v>676</c:v>
                </c:pt>
                <c:pt idx="3">
                  <c:v>718.16666666666663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D-4765-B3DD-128A1BECEC6E}"/>
            </c:ext>
          </c:extLst>
        </c:ser>
        <c:ser>
          <c:idx val="2"/>
          <c:order val="2"/>
          <c:tx>
            <c:strRef>
              <c:f>Fare_Rules!$D$56</c:f>
              <c:strCache>
                <c:ptCount val="1"/>
                <c:pt idx="0">
                  <c:v>Average of Penalty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Fare_Rules!$A$57:$A$61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Fare_Rules!$D$57:$D$61</c:f>
              <c:numCache>
                <c:formatCode>General</c:formatCode>
                <c:ptCount val="4"/>
                <c:pt idx="0">
                  <c:v>175.33333333333334</c:v>
                </c:pt>
                <c:pt idx="1">
                  <c:v>213</c:v>
                </c:pt>
                <c:pt idx="2">
                  <c:v>169</c:v>
                </c:pt>
                <c:pt idx="3">
                  <c:v>204.33333333333334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D-4765-B3DD-128A1BECE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0051407"/>
        <c:axId val="290053327"/>
      </c:barChart>
      <c:catAx>
        <c:axId val="290051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53327"/>
        <c:crosses val="autoZero"/>
        <c:auto val="1"/>
        <c:lblAlgn val="ctr"/>
        <c:lblOffset val="100"/>
        <c:noMultiLvlLbl val="0"/>
      </c:catAx>
      <c:valAx>
        <c:axId val="29005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5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Project.xlsx]Refunds!PivotTable7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'Refunds'!$B$127:$B$128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'Refunds'!$A$129:$A$133</c:f>
              <c:strCache>
                <c:ptCount val="4"/>
                <c:pt idx="0">
                  <c:v>Customer Request</c:v>
                </c:pt>
                <c:pt idx="1">
                  <c:v>Duplicate Ticket</c:v>
                </c:pt>
                <c:pt idx="2">
                  <c:v>No-show</c:v>
                </c:pt>
                <c:pt idx="3">
                  <c:v>Schedule Change</c:v>
                </c:pt>
              </c:strCache>
            </c:strRef>
          </c:cat>
          <c:val>
            <c:numRef>
              <c:f>'Refunds'!$B$129:$B$133</c:f>
              <c:numCache>
                <c:formatCode>_(* #,##0.00_);_(* \(#,##0.00\);_(* "-"??_);_(@_)</c:formatCode>
                <c:ptCount val="4"/>
                <c:pt idx="0">
                  <c:v>7961.0392601260082</c:v>
                </c:pt>
                <c:pt idx="1">
                  <c:v>5065.400353539253</c:v>
                </c:pt>
                <c:pt idx="2">
                  <c:v>6761.794194983635</c:v>
                </c:pt>
                <c:pt idx="3">
                  <c:v>3749.4680564586097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6-42EE-9DA6-330233731CB3}"/>
            </c:ext>
          </c:extLst>
        </c:ser>
        <c:ser>
          <c:idx val="1"/>
          <c:order val="1"/>
          <c:tx>
            <c:strRef>
              <c:f>'Refunds'!$C$127:$C$128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'Refunds'!$A$129:$A$133</c:f>
              <c:strCache>
                <c:ptCount val="4"/>
                <c:pt idx="0">
                  <c:v>Customer Request</c:v>
                </c:pt>
                <c:pt idx="1">
                  <c:v>Duplicate Ticket</c:v>
                </c:pt>
                <c:pt idx="2">
                  <c:v>No-show</c:v>
                </c:pt>
                <c:pt idx="3">
                  <c:v>Schedule Change</c:v>
                </c:pt>
              </c:strCache>
            </c:strRef>
          </c:cat>
          <c:val>
            <c:numRef>
              <c:f>'Refunds'!$C$129:$C$133</c:f>
              <c:numCache>
                <c:formatCode>_(* #,##0.00_);_(* \(#,##0.00\);_(* "-"??_);_(@_)</c:formatCode>
                <c:ptCount val="4"/>
                <c:pt idx="0">
                  <c:v>6396.4543444625542</c:v>
                </c:pt>
                <c:pt idx="1">
                  <c:v>4253.1059265826107</c:v>
                </c:pt>
                <c:pt idx="2">
                  <c:v>2549.9256703811907</c:v>
                </c:pt>
                <c:pt idx="3">
                  <c:v>5761.065863138876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6-42EE-9DA6-330233731CB3}"/>
            </c:ext>
          </c:extLst>
        </c:ser>
        <c:ser>
          <c:idx val="2"/>
          <c:order val="2"/>
          <c:tx>
            <c:strRef>
              <c:f>'Refunds'!$D$127:$D$128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'Refunds'!$A$129:$A$133</c:f>
              <c:strCache>
                <c:ptCount val="4"/>
                <c:pt idx="0">
                  <c:v>Customer Request</c:v>
                </c:pt>
                <c:pt idx="1">
                  <c:v>Duplicate Ticket</c:v>
                </c:pt>
                <c:pt idx="2">
                  <c:v>No-show</c:v>
                </c:pt>
                <c:pt idx="3">
                  <c:v>Schedule Change</c:v>
                </c:pt>
              </c:strCache>
            </c:strRef>
          </c:cat>
          <c:val>
            <c:numRef>
              <c:f>'Refunds'!$D$129:$D$133</c:f>
              <c:numCache>
                <c:formatCode>_(* #,##0.00_);_(* \(#,##0.00\);_(* "-"??_);_(@_)</c:formatCode>
                <c:ptCount val="4"/>
                <c:pt idx="0">
                  <c:v>9401.4417919610769</c:v>
                </c:pt>
                <c:pt idx="1">
                  <c:v>8277.1147156867246</c:v>
                </c:pt>
                <c:pt idx="2">
                  <c:v>1979.1188891826976</c:v>
                </c:pt>
                <c:pt idx="3">
                  <c:v>6413.8821853619656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6-42EE-9DA6-330233731CB3}"/>
            </c:ext>
          </c:extLst>
        </c:ser>
        <c:ser>
          <c:idx val="3"/>
          <c:order val="3"/>
          <c:tx>
            <c:strRef>
              <c:f>'Refunds'!$E$127:$E$128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'Refunds'!$A$129:$A$133</c:f>
              <c:strCache>
                <c:ptCount val="4"/>
                <c:pt idx="0">
                  <c:v>Customer Request</c:v>
                </c:pt>
                <c:pt idx="1">
                  <c:v>Duplicate Ticket</c:v>
                </c:pt>
                <c:pt idx="2">
                  <c:v>No-show</c:v>
                </c:pt>
                <c:pt idx="3">
                  <c:v>Schedule Change</c:v>
                </c:pt>
              </c:strCache>
            </c:strRef>
          </c:cat>
          <c:val>
            <c:numRef>
              <c:f>'Refunds'!$E$129:$E$133</c:f>
              <c:numCache>
                <c:formatCode>_(* #,##0.00_);_(* \(#,##0.00\);_(* "-"??_);_(@_)</c:formatCode>
                <c:ptCount val="4"/>
                <c:pt idx="0">
                  <c:v>5594.8298132611644</c:v>
                </c:pt>
                <c:pt idx="1">
                  <c:v>4669.4369865381741</c:v>
                </c:pt>
                <c:pt idx="2">
                  <c:v>6817.8487958004725</c:v>
                </c:pt>
                <c:pt idx="3">
                  <c:v>3502.9022111748154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6-42EE-9DA6-330233731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0320"/>
        <c:axId val="115432720"/>
      </c:barChart>
      <c:catAx>
        <c:axId val="11543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2720"/>
        <c:crosses val="autoZero"/>
        <c:auto val="1"/>
        <c:lblAlgn val="ctr"/>
        <c:lblOffset val="100"/>
        <c:noMultiLvlLbl val="0"/>
      </c:catAx>
      <c:valAx>
        <c:axId val="1154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Project.xlsx]Refunds!PivotTable13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'Refunds'!$B$155</c:f>
              <c:strCache>
                <c:ptCount val="1"/>
                <c:pt idx="0">
                  <c:v>Sum of RefundAmount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'Refunds'!$A$156:$A$161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'Refunds'!$B$156:$B$161</c:f>
              <c:numCache>
                <c:formatCode>_(* #,##0.00_);_(* \(#,##0.00\);_(* "-"??_);_(@_)</c:formatCode>
                <c:ptCount val="5"/>
                <c:pt idx="0">
                  <c:v>16717.941675902526</c:v>
                </c:pt>
                <c:pt idx="1">
                  <c:v>17209.982090884736</c:v>
                </c:pt>
                <c:pt idx="2">
                  <c:v>15664.928608815799</c:v>
                </c:pt>
                <c:pt idx="3">
                  <c:v>12905.508624558806</c:v>
                </c:pt>
                <c:pt idx="4">
                  <c:v>26656.468058477949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F-4E00-B753-8AF84340A19F}"/>
            </c:ext>
          </c:extLst>
        </c:ser>
        <c:ser>
          <c:idx val="1"/>
          <c:order val="1"/>
          <c:tx>
            <c:strRef>
              <c:f>'Refunds'!$C$155</c:f>
              <c:strCache>
                <c:ptCount val="1"/>
                <c:pt idx="0">
                  <c:v>Sum of FareCharged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'Refunds'!$A$156:$A$161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'Refunds'!$C$156:$C$161</c:f>
              <c:numCache>
                <c:formatCode>_(* #,##0.00_);_(* \(#,##0.00\);_(* "-"??_);_(@_)</c:formatCode>
                <c:ptCount val="5"/>
                <c:pt idx="0">
                  <c:v>23475</c:v>
                </c:pt>
                <c:pt idx="1">
                  <c:v>22209</c:v>
                </c:pt>
                <c:pt idx="2">
                  <c:v>21216</c:v>
                </c:pt>
                <c:pt idx="3">
                  <c:v>18622</c:v>
                </c:pt>
                <c:pt idx="4">
                  <c:v>35026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F-4E00-B753-8AF84340A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3680"/>
        <c:axId val="115422160"/>
      </c:barChart>
      <c:catAx>
        <c:axId val="11543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22160"/>
        <c:crosses val="autoZero"/>
        <c:auto val="1"/>
        <c:lblAlgn val="ctr"/>
        <c:lblOffset val="100"/>
        <c:noMultiLvlLbl val="0"/>
      </c:catAx>
      <c:valAx>
        <c:axId val="1154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Project.xlsx]Tickets_Sold!PivotTable15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Tickets_Sold!$B$516:$B$518</c:f>
              <c:strCache>
                <c:ptCount val="1"/>
                <c:pt idx="0">
                  <c:v>ADT - Count of TicketNumber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Tickets_Sold!$B$519:$B$523</c:f>
              <c:numCache>
                <c:formatCode>General</c:formatCode>
                <c:ptCount val="4"/>
                <c:pt idx="0">
                  <c:v>84</c:v>
                </c:pt>
                <c:pt idx="1">
                  <c:v>92</c:v>
                </c:pt>
                <c:pt idx="2">
                  <c:v>80</c:v>
                </c:pt>
                <c:pt idx="3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523-9641-182DA759BD57}"/>
            </c:ext>
          </c:extLst>
        </c:ser>
        <c:ser>
          <c:idx val="1"/>
          <c:order val="1"/>
          <c:tx>
            <c:strRef>
              <c:f>Tickets_Sold!$C$516:$C$518</c:f>
              <c:strCache>
                <c:ptCount val="1"/>
                <c:pt idx="0">
                  <c:v>ADT - Average of FareCharged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Tickets_Sold!$C$519:$C$523</c:f>
              <c:numCache>
                <c:formatCode>_(* #,##0.00_);_(* \(#,##0.00\);_(* "-"??_);_(@_)</c:formatCode>
                <c:ptCount val="4"/>
                <c:pt idx="0">
                  <c:v>1045.9047619047619</c:v>
                </c:pt>
                <c:pt idx="1">
                  <c:v>1138.945652173913</c:v>
                </c:pt>
                <c:pt idx="2">
                  <c:v>1097.8</c:v>
                </c:pt>
                <c:pt idx="3">
                  <c:v>1056.2735849056603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523-9641-182DA759BD57}"/>
            </c:ext>
          </c:extLst>
        </c:ser>
        <c:ser>
          <c:idx val="2"/>
          <c:order val="2"/>
          <c:tx>
            <c:strRef>
              <c:f>Tickets_Sold!$D$516:$D$518</c:f>
              <c:strCache>
                <c:ptCount val="1"/>
                <c:pt idx="0">
                  <c:v>ADT - Sum of FareCharged2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Tickets_Sold!$D$519:$D$523</c:f>
              <c:numCache>
                <c:formatCode>_(* #,##0.00_);_(* \(#,##0.00\);_(* "-"??_);_(@_)</c:formatCode>
                <c:ptCount val="4"/>
                <c:pt idx="0">
                  <c:v>87856</c:v>
                </c:pt>
                <c:pt idx="1">
                  <c:v>104783</c:v>
                </c:pt>
                <c:pt idx="2">
                  <c:v>87824</c:v>
                </c:pt>
                <c:pt idx="3">
                  <c:v>111965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523-9641-182DA759BD57}"/>
            </c:ext>
          </c:extLst>
        </c:ser>
        <c:ser>
          <c:idx val="3"/>
          <c:order val="3"/>
          <c:tx>
            <c:strRef>
              <c:f>Tickets_Sold!$E$516:$E$518</c:f>
              <c:strCache>
                <c:ptCount val="1"/>
                <c:pt idx="0">
                  <c:v>CHD - Count of TicketNumber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Tickets_Sold!$E$519:$E$523</c:f>
              <c:numCache>
                <c:formatCode>_(* #,##0.00_);_(* \(#,##0.00\);_(* "-"??_);_(@_)</c:formatCode>
                <c:ptCount val="4"/>
                <c:pt idx="0">
                  <c:v>18</c:v>
                </c:pt>
                <c:pt idx="1">
                  <c:v>15</c:v>
                </c:pt>
                <c:pt idx="2">
                  <c:v>28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523-9641-182DA759BD57}"/>
            </c:ext>
          </c:extLst>
        </c:ser>
        <c:ser>
          <c:idx val="4"/>
          <c:order val="4"/>
          <c:tx>
            <c:strRef>
              <c:f>Tickets_Sold!$F$516:$F$518</c:f>
              <c:strCache>
                <c:ptCount val="1"/>
                <c:pt idx="0">
                  <c:v>CHD - Average of FareCharged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Tickets_Sold!$F$519:$F$523</c:f>
              <c:numCache>
                <c:formatCode>_(* #,##0.00_);_(* \(#,##0.00\);_(* "-"??_);_(@_)</c:formatCode>
                <c:ptCount val="4"/>
                <c:pt idx="0">
                  <c:v>939.16666666666663</c:v>
                </c:pt>
                <c:pt idx="1">
                  <c:v>1025.5999999999999</c:v>
                </c:pt>
                <c:pt idx="2">
                  <c:v>1218.8928571428571</c:v>
                </c:pt>
                <c:pt idx="3">
                  <c:v>1007.5666666666667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523-9641-182DA759BD57}"/>
            </c:ext>
          </c:extLst>
        </c:ser>
        <c:ser>
          <c:idx val="5"/>
          <c:order val="5"/>
          <c:tx>
            <c:strRef>
              <c:f>Tickets_Sold!$G$516:$G$518</c:f>
              <c:strCache>
                <c:ptCount val="1"/>
                <c:pt idx="0">
                  <c:v>CHD - Sum of FareCharged2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Tickets_Sold!$G$519:$G$523</c:f>
              <c:numCache>
                <c:formatCode>_(* #,##0.00_);_(* \(#,##0.00\);_(* "-"??_);_(@_)</c:formatCode>
                <c:ptCount val="4"/>
                <c:pt idx="0">
                  <c:v>16905</c:v>
                </c:pt>
                <c:pt idx="1">
                  <c:v>15384</c:v>
                </c:pt>
                <c:pt idx="2">
                  <c:v>34129</c:v>
                </c:pt>
                <c:pt idx="3">
                  <c:v>30227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523-9641-182DA759BD57}"/>
            </c:ext>
          </c:extLst>
        </c:ser>
        <c:ser>
          <c:idx val="6"/>
          <c:order val="6"/>
          <c:tx>
            <c:strRef>
              <c:f>Tickets_Sold!$H$516:$H$518</c:f>
              <c:strCache>
                <c:ptCount val="1"/>
                <c:pt idx="0">
                  <c:v>INF - Count of TicketNumber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Tickets_Sold!$H$519:$H$523</c:f>
              <c:numCache>
                <c:formatCode>_(* #,##0.00_);_(* \(#,##0.00\);_(* "-"??_);_(@_)</c:formatCode>
                <c:ptCount val="4"/>
                <c:pt idx="0">
                  <c:v>14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523-9641-182DA759BD57}"/>
            </c:ext>
          </c:extLst>
        </c:ser>
        <c:ser>
          <c:idx val="7"/>
          <c:order val="7"/>
          <c:tx>
            <c:strRef>
              <c:f>Tickets_Sold!$I$516:$I$518</c:f>
              <c:strCache>
                <c:ptCount val="1"/>
                <c:pt idx="0">
                  <c:v>INF - Average of FareCharged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Tickets_Sold!$I$519:$I$523</c:f>
              <c:numCache>
                <c:formatCode>_(* #,##0.00_);_(* \(#,##0.00\);_(* "-"??_);_(@_)</c:formatCode>
                <c:ptCount val="4"/>
                <c:pt idx="0">
                  <c:v>774.14285714285711</c:v>
                </c:pt>
                <c:pt idx="1">
                  <c:v>1233.7</c:v>
                </c:pt>
                <c:pt idx="2">
                  <c:v>1128.4545454545455</c:v>
                </c:pt>
                <c:pt idx="3">
                  <c:v>929.91666666666663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CB-4523-9641-182DA759BD57}"/>
            </c:ext>
          </c:extLst>
        </c:ser>
        <c:ser>
          <c:idx val="8"/>
          <c:order val="8"/>
          <c:tx>
            <c:strRef>
              <c:f>Tickets_Sold!$J$516:$J$518</c:f>
              <c:strCache>
                <c:ptCount val="1"/>
                <c:pt idx="0">
                  <c:v>INF - Sum of FareCharged2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Tickets_Sold!$A$519:$A$523</c:f>
              <c:strCache>
                <c:ptCount val="4"/>
                <c:pt idx="0">
                  <c:v>C</c:v>
                </c:pt>
                <c:pt idx="1">
                  <c:v>F</c:v>
                </c:pt>
                <c:pt idx="2">
                  <c:v>M</c:v>
                </c:pt>
                <c:pt idx="3">
                  <c:v>Y</c:v>
                </c:pt>
              </c:strCache>
            </c:strRef>
          </c:cat>
          <c:val>
            <c:numRef>
              <c:f>Tickets_Sold!$J$519:$J$523</c:f>
              <c:numCache>
                <c:formatCode>_(* #,##0.00_);_(* \(#,##0.00\);_(* "-"??_);_(@_)</c:formatCode>
                <c:ptCount val="4"/>
                <c:pt idx="0">
                  <c:v>10838</c:v>
                </c:pt>
                <c:pt idx="1">
                  <c:v>12337</c:v>
                </c:pt>
                <c:pt idx="2">
                  <c:v>12413</c:v>
                </c:pt>
                <c:pt idx="3">
                  <c:v>11159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CB-4523-9641-182DA759B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8960"/>
        <c:axId val="115439440"/>
      </c:barChart>
      <c:catAx>
        <c:axId val="11543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9440"/>
        <c:crosses val="autoZero"/>
        <c:auto val="1"/>
        <c:lblAlgn val="ctr"/>
        <c:lblOffset val="100"/>
        <c:noMultiLvlLbl val="0"/>
      </c:catAx>
      <c:valAx>
        <c:axId val="1154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Project.xlsx]Tickets_Sold!PivotTable16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Tickets_Sold!$B$546</c:f>
              <c:strCache>
                <c:ptCount val="1"/>
                <c:pt idx="0">
                  <c:v>Sum of Taxes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Tickets_Sold!$A$547:$A$552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Tickets_Sold!$B$547:$B$552</c:f>
              <c:numCache>
                <c:formatCode>_(* #,##0.00_);_(* \(#,##0.00\);_(* "-"??_);_(@_)</c:formatCode>
                <c:ptCount val="5"/>
                <c:pt idx="0">
                  <c:v>32742</c:v>
                </c:pt>
                <c:pt idx="1">
                  <c:v>24621</c:v>
                </c:pt>
                <c:pt idx="2">
                  <c:v>27579</c:v>
                </c:pt>
                <c:pt idx="3">
                  <c:v>29471</c:v>
                </c:pt>
                <c:pt idx="4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C-4D97-8F95-3916DD7C73E4}"/>
            </c:ext>
          </c:extLst>
        </c:ser>
        <c:ser>
          <c:idx val="1"/>
          <c:order val="1"/>
          <c:tx>
            <c:strRef>
              <c:f>Tickets_Sold!$C$546</c:f>
              <c:strCache>
                <c:ptCount val="1"/>
                <c:pt idx="0">
                  <c:v>Sum of FareCharged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Tickets_Sold!$A$547:$A$552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Tickets_Sold!$C$547:$C$552</c:f>
              <c:numCache>
                <c:formatCode>_(* #,##0.00_);_(* \(#,##0.00\);_(* "-"??_);_(@_)</c:formatCode>
                <c:ptCount val="5"/>
                <c:pt idx="0">
                  <c:v>144268</c:v>
                </c:pt>
                <c:pt idx="1">
                  <c:v>111330</c:v>
                </c:pt>
                <c:pt idx="2">
                  <c:v>132648</c:v>
                </c:pt>
                <c:pt idx="3">
                  <c:v>142002</c:v>
                </c:pt>
                <c:pt idx="4">
                  <c:v>5572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C-4D97-8F95-3916DD7C73E4}"/>
            </c:ext>
          </c:extLst>
        </c:ser>
        <c:ser>
          <c:idx val="2"/>
          <c:order val="2"/>
          <c:tx>
            <c:strRef>
              <c:f>Tickets_Sold!$D$546</c:f>
              <c:strCache>
                <c:ptCount val="1"/>
                <c:pt idx="0">
                  <c:v>Count of TicketNumber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Tickets_Sold!$A$547:$A$552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Tickets_Sold!$D$547:$D$552</c:f>
              <c:numCache>
                <c:formatCode>_(* #,##0.00_);_(* \(#,##0.00\);_(* "-"??_);_(@_)</c:formatCode>
                <c:ptCount val="5"/>
                <c:pt idx="0">
                  <c:v>139</c:v>
                </c:pt>
                <c:pt idx="1">
                  <c:v>102</c:v>
                </c:pt>
                <c:pt idx="2">
                  <c:v>118</c:v>
                </c:pt>
                <c:pt idx="3">
                  <c:v>136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C-4D97-8F95-3916DD7C7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03920"/>
        <c:axId val="115387600"/>
      </c:barChart>
      <c:catAx>
        <c:axId val="11540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7600"/>
        <c:crosses val="autoZero"/>
        <c:auto val="1"/>
        <c:lblAlgn val="ctr"/>
        <c:lblOffset val="100"/>
        <c:noMultiLvlLbl val="0"/>
      </c:catAx>
      <c:valAx>
        <c:axId val="11538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 Assurance Project.xlsx]Tickets_Sold!PivotTable17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Tickets_Sold!$B$574</c:f>
              <c:strCache>
                <c:ptCount val="1"/>
                <c:pt idx="0">
                  <c:v>Average of FareCharged2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Tickets_Sold!$A$575:$A$580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Tickets_Sold!$B$575:$B$580</c:f>
              <c:numCache>
                <c:formatCode>_(* #,##0.00_);_(* \(#,##0.00\);_(* "-"??_);_(@_)</c:formatCode>
                <c:ptCount val="5"/>
                <c:pt idx="0">
                  <c:v>1092.4680851063829</c:v>
                </c:pt>
                <c:pt idx="1">
                  <c:v>1059.7128712871288</c:v>
                </c:pt>
                <c:pt idx="2">
                  <c:v>967.8089887640449</c:v>
                </c:pt>
                <c:pt idx="3">
                  <c:v>1155.2407407407406</c:v>
                </c:pt>
                <c:pt idx="4">
                  <c:v>1066.6296296296296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7-496F-8B9C-828E212E3082}"/>
            </c:ext>
          </c:extLst>
        </c:ser>
        <c:ser>
          <c:idx val="1"/>
          <c:order val="1"/>
          <c:tx>
            <c:strRef>
              <c:f>Tickets_Sold!$C$574</c:f>
              <c:strCache>
                <c:ptCount val="1"/>
                <c:pt idx="0">
                  <c:v>Sum of FareCharged3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Tickets_Sold!$A$575:$A$580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Tickets_Sold!$C$575:$C$580</c:f>
              <c:numCache>
                <c:formatCode>_(* #,##0.00_);_(* \(#,##0.00\);_(* "-"??_);_(@_)</c:formatCode>
                <c:ptCount val="5"/>
                <c:pt idx="0">
                  <c:v>102692</c:v>
                </c:pt>
                <c:pt idx="1">
                  <c:v>107031</c:v>
                </c:pt>
                <c:pt idx="2">
                  <c:v>86135</c:v>
                </c:pt>
                <c:pt idx="3">
                  <c:v>124766</c:v>
                </c:pt>
                <c:pt idx="4">
                  <c:v>115196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7-496F-8B9C-828E212E3082}"/>
            </c:ext>
          </c:extLst>
        </c:ser>
        <c:ser>
          <c:idx val="2"/>
          <c:order val="2"/>
          <c:tx>
            <c:strRef>
              <c:f>Tickets_Sold!$D$574</c:f>
              <c:strCache>
                <c:ptCount val="1"/>
                <c:pt idx="0">
                  <c:v>Count of TicketNumber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Tickets_Sold!$A$575:$A$580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Tickets_Sold!$D$575:$D$580</c:f>
              <c:numCache>
                <c:formatCode>_(* #,##0.00_);_(* \(#,##0.00\);_(* "-"??_);_(@_)</c:formatCode>
                <c:ptCount val="5"/>
                <c:pt idx="0">
                  <c:v>94</c:v>
                </c:pt>
                <c:pt idx="1">
                  <c:v>101</c:v>
                </c:pt>
                <c:pt idx="2">
                  <c:v>89</c:v>
                </c:pt>
                <c:pt idx="3">
                  <c:v>108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7-496F-8B9C-828E212E3082}"/>
            </c:ext>
          </c:extLst>
        </c:ser>
        <c:ser>
          <c:idx val="3"/>
          <c:order val="3"/>
          <c:tx>
            <c:strRef>
              <c:f>Tickets_Sold!$E$574</c:f>
              <c:strCache>
                <c:ptCount val="1"/>
                <c:pt idx="0">
                  <c:v>Max of FareCharged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Tickets_Sold!$A$575:$A$580</c:f>
              <c:strCache>
                <c:ptCount val="5"/>
                <c:pt idx="0">
                  <c:v>AGT001</c:v>
                </c:pt>
                <c:pt idx="1">
                  <c:v>AGT002</c:v>
                </c:pt>
                <c:pt idx="2">
                  <c:v>AGT003</c:v>
                </c:pt>
                <c:pt idx="3">
                  <c:v>AGT004</c:v>
                </c:pt>
                <c:pt idx="4">
                  <c:v>AGT005</c:v>
                </c:pt>
              </c:strCache>
            </c:strRef>
          </c:cat>
          <c:val>
            <c:numRef>
              <c:f>Tickets_Sold!$E$575:$E$580</c:f>
              <c:numCache>
                <c:formatCode>_(* #,##0.00_);_(* \(#,##0.00\);_(* "-"??_);_(@_)</c:formatCode>
                <c:ptCount val="5"/>
                <c:pt idx="0">
                  <c:v>1947</c:v>
                </c:pt>
                <c:pt idx="1">
                  <c:v>1985</c:v>
                </c:pt>
                <c:pt idx="2">
                  <c:v>1973</c:v>
                </c:pt>
                <c:pt idx="3">
                  <c:v>1990</c:v>
                </c:pt>
                <c:pt idx="4">
                  <c:v>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D7-496F-8B9C-828E212E3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93840"/>
        <c:axId val="115394320"/>
      </c:barChart>
      <c:catAx>
        <c:axId val="11539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4320"/>
        <c:crosses val="autoZero"/>
        <c:auto val="1"/>
        <c:lblAlgn val="ctr"/>
        <c:lblOffset val="100"/>
        <c:noMultiLvlLbl val="0"/>
      </c:catAx>
      <c:valAx>
        <c:axId val="11539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165100</xdr:rowOff>
    </xdr:from>
    <xdr:to>
      <xdr:col>5</xdr:col>
      <xdr:colOff>25400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B1599-F917-4ECB-B4AF-082899967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6350</xdr:colOff>
      <xdr:row>62</xdr:row>
      <xdr:rowOff>6350</xdr:rowOff>
    </xdr:from>
    <xdr:to>
      <xdr:col>5</xdr:col>
      <xdr:colOff>12700</xdr:colOff>
      <xdr:row>76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42EB6C-E05B-41A6-99F7-C966D781A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</xdr:colOff>
      <xdr:row>92</xdr:row>
      <xdr:rowOff>19050</xdr:rowOff>
    </xdr:from>
    <xdr:to>
      <xdr:col>5</xdr:col>
      <xdr:colOff>0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42FECE-3980-4899-BF67-93E9BAEB2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12700</xdr:colOff>
      <xdr:row>124</xdr:row>
      <xdr:rowOff>38100</xdr:rowOff>
    </xdr:from>
    <xdr:to>
      <xdr:col>5</xdr:col>
      <xdr:colOff>12700</xdr:colOff>
      <xdr:row>139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A3310E-6809-457A-ABC8-87B2A7616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9072</xdr:colOff>
      <xdr:row>151</xdr:row>
      <xdr:rowOff>166574</xdr:rowOff>
    </xdr:from>
    <xdr:to>
      <xdr:col>7</xdr:col>
      <xdr:colOff>6350</xdr:colOff>
      <xdr:row>166</xdr:row>
      <xdr:rowOff>171336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A29837-F1B9-442A-A33F-09308EF7C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</xdr:colOff>
      <xdr:row>179</xdr:row>
      <xdr:rowOff>116682</xdr:rowOff>
    </xdr:from>
    <xdr:to>
      <xdr:col>5</xdr:col>
      <xdr:colOff>1796144</xdr:colOff>
      <xdr:row>194</xdr:row>
      <xdr:rowOff>121444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E08B5D-A494-404F-9AAB-197DB518F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2848429</xdr:colOff>
      <xdr:row>210</xdr:row>
      <xdr:rowOff>177800</xdr:rowOff>
    </xdr:from>
    <xdr:to>
      <xdr:col>14</xdr:col>
      <xdr:colOff>484415</xdr:colOff>
      <xdr:row>225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46BC574-27CD-4CBE-899A-0EE6CF82F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2873829</xdr:colOff>
      <xdr:row>239</xdr:row>
      <xdr:rowOff>158751</xdr:rowOff>
    </xdr:from>
    <xdr:to>
      <xdr:col>5</xdr:col>
      <xdr:colOff>9071</xdr:colOff>
      <xdr:row>254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9DCFC8-34BB-4260-8C06-B5D7E5E7B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9072</xdr:colOff>
      <xdr:row>267</xdr:row>
      <xdr:rowOff>155122</xdr:rowOff>
    </xdr:from>
    <xdr:to>
      <xdr:col>6</xdr:col>
      <xdr:colOff>45357</xdr:colOff>
      <xdr:row>282</xdr:row>
      <xdr:rowOff>49893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D3E9829-DA0D-4A4A-BCF7-0BF6BC57A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133</xdr:row>
      <xdr:rowOff>165100</xdr:rowOff>
    </xdr:from>
    <xdr:to>
      <xdr:col>4</xdr:col>
      <xdr:colOff>25400</xdr:colOff>
      <xdr:row>148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162EE-D0DC-14D0-E1F8-5F6211DDF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132</xdr:row>
      <xdr:rowOff>165100</xdr:rowOff>
    </xdr:from>
    <xdr:to>
      <xdr:col>3</xdr:col>
      <xdr:colOff>57150</xdr:colOff>
      <xdr:row>147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5B940-35E5-53C9-56CB-16A08DB0E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511</xdr:row>
      <xdr:rowOff>165100</xdr:rowOff>
    </xdr:from>
    <xdr:to>
      <xdr:col>4</xdr:col>
      <xdr:colOff>63500</xdr:colOff>
      <xdr:row>526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E3FC1-A9E2-3F7D-35FE-7A6CCFF44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4</xdr:col>
      <xdr:colOff>69850</xdr:colOff>
      <xdr:row>51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B9CB09-1838-416F-BB05-C2A2E4631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63</xdr:row>
      <xdr:rowOff>25400</xdr:rowOff>
    </xdr:from>
    <xdr:to>
      <xdr:col>4</xdr:col>
      <xdr:colOff>69850</xdr:colOff>
      <xdr:row>78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CDA351-E30C-BD4B-8A60-7331FBA52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135</xdr:row>
      <xdr:rowOff>21431</xdr:rowOff>
    </xdr:from>
    <xdr:to>
      <xdr:col>6</xdr:col>
      <xdr:colOff>79374</xdr:colOff>
      <xdr:row>150</xdr:row>
      <xdr:rowOff>26194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0749B-30E7-8326-6B7D-F317F369F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162</xdr:row>
      <xdr:rowOff>116682</xdr:rowOff>
    </xdr:from>
    <xdr:to>
      <xdr:col>3</xdr:col>
      <xdr:colOff>857250</xdr:colOff>
      <xdr:row>177</xdr:row>
      <xdr:rowOff>121444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D11AEF-2242-14D0-591E-B6DAC2EF8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524</xdr:row>
      <xdr:rowOff>177800</xdr:rowOff>
    </xdr:from>
    <xdr:to>
      <xdr:col>13</xdr:col>
      <xdr:colOff>76200</xdr:colOff>
      <xdr:row>539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F12CB-BAAB-BE28-D4F8-90E6BEA83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554</xdr:row>
      <xdr:rowOff>82550</xdr:rowOff>
    </xdr:from>
    <xdr:to>
      <xdr:col>3</xdr:col>
      <xdr:colOff>1295400</xdr:colOff>
      <xdr:row>568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A95047-DEBD-1C16-35FE-29F2365D7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582</xdr:row>
      <xdr:rowOff>19050</xdr:rowOff>
    </xdr:from>
    <xdr:to>
      <xdr:col>3</xdr:col>
      <xdr:colOff>850900</xdr:colOff>
      <xdr:row>596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1032A1-3F7E-E840-E902-890648DCD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8.698782754633" createdVersion="8" refreshedVersion="8" minRefreshableVersion="3" recordCount="121" xr:uid="{724E88AB-A6FF-4A77-9402-73FFE7CDC855}">
  <cacheSource type="worksheet">
    <worksheetSource name="Refund_Compliance"/>
  </cacheSource>
  <cacheFields count="15">
    <cacheField name="TicketNumber" numFmtId="0">
      <sharedItems/>
    </cacheField>
    <cacheField name="Route" numFmtId="0">
      <sharedItems count="6">
        <s v="DXB-CGK"/>
        <s v="DXB-JFK"/>
        <s v="DXB-MAA"/>
        <s v="DXB-NBO"/>
        <s v="DXB-BOM"/>
        <s v="DXB-LHR"/>
      </sharedItems>
    </cacheField>
    <cacheField name="Class" numFmtId="0">
      <sharedItems count="4">
        <s v="M"/>
        <s v="F"/>
        <s v="C"/>
        <s v="Y"/>
      </sharedItems>
    </cacheField>
    <cacheField name="PassengerType" numFmtId="0">
      <sharedItems/>
    </cacheField>
    <cacheField name="FareCharged" numFmtId="0">
      <sharedItems containsSemiMixedTypes="0" containsString="0" containsNumber="1" containsInteger="1" minValue="156" maxValue="1947"/>
    </cacheField>
    <cacheField name="Taxes" numFmtId="0">
      <sharedItems containsSemiMixedTypes="0" containsString="0" containsNumber="1" containsInteger="1" minValue="50" maxValue="394"/>
    </cacheField>
    <cacheField name="Currency" numFmtId="0">
      <sharedItems/>
    </cacheField>
    <cacheField name="AgentCode" numFmtId="0">
      <sharedItems/>
    </cacheField>
    <cacheField name="SaleDate" numFmtId="14">
      <sharedItems containsSemiMixedTypes="0" containsNonDate="0" containsDate="1" containsString="0" minDate="2025-01-01T00:00:00" maxDate="2025-05-02T00:00:00"/>
    </cacheField>
    <cacheField name="RefundAmount" numFmtId="0">
      <sharedItems containsSemiMixedTypes="0" containsString="0" containsNumber="1" minValue="124.94900279342461" maxValue="1911.4665110040671"/>
    </cacheField>
    <cacheField name="RefundDate" numFmtId="14">
      <sharedItems containsSemiMixedTypes="0" containsNonDate="0" containsDate="1" containsString="0" minDate="2025-01-07T00:00:00" maxDate="2025-06-10T00:00:00"/>
    </cacheField>
    <cacheField name="RefundReason" numFmtId="0">
      <sharedItems/>
    </cacheField>
    <cacheField name="Refund Turnaround Days" numFmtId="0">
      <sharedItems containsSemiMixedTypes="0" containsString="0" containsNumber="1" containsInteger="1" minValue="-45" maxValue="-2"/>
    </cacheField>
    <cacheField name="Refund Percentage" numFmtId="9">
      <sharedItems containsSemiMixedTypes="0" containsString="0" containsNumber="1" minValue="0.50067681285773413" maxValue="0.99566395078211034"/>
    </cacheField>
    <cacheField name="Refund Policy Viol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8.707266203703" createdVersion="8" refreshedVersion="8" minRefreshableVersion="3" recordCount="100" xr:uid="{A148DC02-8AF3-40E7-BD5F-7FFF714ED819}">
  <cacheSource type="worksheet">
    <worksheetSource name="ADM_History"/>
  </cacheSource>
  <cacheFields count="6">
    <cacheField name="TicketNumber" numFmtId="0">
      <sharedItems/>
    </cacheField>
    <cacheField name="AgentCode" numFmtId="0">
      <sharedItems count="5">
        <s v="AGT001"/>
        <s v="AGT003"/>
        <s v="AGT004"/>
        <s v="AGT002"/>
        <s v="AGT005"/>
      </sharedItems>
    </cacheField>
    <cacheField name="ADMAmount" numFmtId="0">
      <sharedItems containsSemiMixedTypes="0" containsString="0" containsNumber="1" containsInteger="1" minValue="23" maxValue="483"/>
    </cacheField>
    <cacheField name="Reason" numFmtId="0">
      <sharedItems count="4">
        <s v="No-show violation"/>
        <s v="Incorrect Fare"/>
        <s v="Incorrect Tax"/>
        <s v="Under-collection"/>
      </sharedItems>
    </cacheField>
    <cacheField name="SettlementStatus" numFmtId="0">
      <sharedItems/>
    </cacheField>
    <cacheField name="ADMDate" numFmtId="14">
      <sharedItems containsSemiMixedTypes="0" containsNonDate="0" containsDate="1" containsString="0" minDate="2025-01-02T00:00:00" maxDate="2025-05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8.712550810182" createdVersion="8" refreshedVersion="8" minRefreshableVersion="3" recordCount="500" xr:uid="{C04991A3-2EF0-41C4-9B8F-2892D3AA9E0D}">
  <cacheSource type="worksheet">
    <worksheetSource name="Bank_Receipts"/>
  </cacheSource>
  <cacheFields count="5">
    <cacheField name="ReceiptID" numFmtId="0">
      <sharedItems/>
    </cacheField>
    <cacheField name="TicketNumber" numFmtId="0">
      <sharedItems/>
    </cacheField>
    <cacheField name="AmountReceived" numFmtId="0">
      <sharedItems containsSemiMixedTypes="0" containsString="0" containsNumber="1" containsInteger="1" minValue="247" maxValue="2390"/>
    </cacheField>
    <cacheField name="ReceiptDate" numFmtId="14">
      <sharedItems containsSemiMixedTypes="0" containsNonDate="0" containsDate="1" containsString="0" minDate="2025-01-01T00:00:00" maxDate="2025-05-02T00:00:00"/>
    </cacheField>
    <cacheField name="PaymentChannel" numFmtId="0">
      <sharedItems count="5">
        <s v="Cash"/>
        <s v="Visa"/>
        <s v="BankTransfer"/>
        <s v="Mastercard"/>
        <s v="Am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8.71409710648" createdVersion="8" refreshedVersion="8" minRefreshableVersion="3" recordCount="24" xr:uid="{1E0A7484-86F0-495F-8E59-D26430219E43}">
  <cacheSource type="worksheet">
    <worksheetSource name="Fare_Rules"/>
  </cacheSource>
  <cacheFields count="5">
    <cacheField name="Route" numFmtId="0">
      <sharedItems count="6">
        <s v="DXB-NBO"/>
        <s v="DXB-LHR"/>
        <s v="DXB-JFK"/>
        <s v="DXB-MAA"/>
        <s v="DXB-CGK"/>
        <s v="DXB-BOM"/>
      </sharedItems>
    </cacheField>
    <cacheField name="Class" numFmtId="0">
      <sharedItems count="4">
        <s v="Y"/>
        <s v="M"/>
        <s v="C"/>
        <s v="F"/>
      </sharedItems>
    </cacheField>
    <cacheField name="MinFare" numFmtId="0">
      <sharedItems containsSemiMixedTypes="0" containsString="0" containsNumber="1" containsInteger="1" minValue="209" maxValue="1187"/>
    </cacheField>
    <cacheField name="Penalty" numFmtId="0">
      <sharedItems containsSemiMixedTypes="0" containsString="0" containsNumber="1" containsInteger="1" minValue="90" maxValue="297"/>
    </cacheField>
    <cacheField name="Refundable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8.720474305555" createdVersion="8" refreshedVersion="8" minRefreshableVersion="3" recordCount="121" xr:uid="{D36402B4-E9AB-47B0-BCB3-040FD0E2AB9A}">
  <cacheSource type="worksheet">
    <worksheetSource name="Refunds"/>
  </cacheSource>
  <cacheFields count="12">
    <cacheField name="TicketNumber" numFmtId="0">
      <sharedItems/>
    </cacheField>
    <cacheField name="Route" numFmtId="0">
      <sharedItems/>
    </cacheField>
    <cacheField name="Class" numFmtId="0">
      <sharedItems count="4">
        <s v="M"/>
        <s v="F"/>
        <s v="C"/>
        <s v="Y"/>
      </sharedItems>
    </cacheField>
    <cacheField name="PassengerType" numFmtId="0">
      <sharedItems count="3">
        <s v="ADT"/>
        <s v="CHD"/>
        <s v="INF"/>
      </sharedItems>
    </cacheField>
    <cacheField name="FareCharged" numFmtId="0">
      <sharedItems containsSemiMixedTypes="0" containsString="0" containsNumber="1" containsInteger="1" minValue="156" maxValue="1947"/>
    </cacheField>
    <cacheField name="Taxes" numFmtId="0">
      <sharedItems containsSemiMixedTypes="0" containsString="0" containsNumber="1" containsInteger="1" minValue="50" maxValue="394"/>
    </cacheField>
    <cacheField name="Currency" numFmtId="0">
      <sharedItems/>
    </cacheField>
    <cacheField name="AgentCode" numFmtId="0">
      <sharedItems count="5">
        <s v="AGT004"/>
        <s v="AGT005"/>
        <s v="AGT002"/>
        <s v="AGT001"/>
        <s v="AGT003"/>
      </sharedItems>
    </cacheField>
    <cacheField name="SaleDate" numFmtId="14">
      <sharedItems containsSemiMixedTypes="0" containsNonDate="0" containsDate="1" containsString="0" minDate="2025-01-01T00:00:00" maxDate="2025-05-02T00:00:00"/>
    </cacheField>
    <cacheField name="RefundAmount" numFmtId="0">
      <sharedItems containsSemiMixedTypes="0" containsString="0" containsNumber="1" minValue="124.94900279342461" maxValue="1911.4665110040671"/>
    </cacheField>
    <cacheField name="RefundDate" numFmtId="14">
      <sharedItems containsSemiMixedTypes="0" containsNonDate="0" containsDate="1" containsString="0" minDate="2025-01-07T00:00:00" maxDate="2025-06-10T00:00:00"/>
    </cacheField>
    <cacheField name="RefundReason" numFmtId="0">
      <sharedItems count="4">
        <s v="Customer Request"/>
        <s v="Schedule Change"/>
        <s v="Duplicate Ticket"/>
        <s v="No-sh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8.743450347225" createdVersion="8" refreshedVersion="8" minRefreshableVersion="3" recordCount="500" xr:uid="{DE8ED435-082A-41A7-9A05-41DC83909266}">
  <cacheSource type="worksheet">
    <worksheetSource name="Tickets_Sold"/>
  </cacheSource>
  <cacheFields count="11">
    <cacheField name="TicketNumber" numFmtId="0">
      <sharedItems/>
    </cacheField>
    <cacheField name="Route" numFmtId="0">
      <sharedItems count="6">
        <s v="DXB-MAA"/>
        <s v="DXB-CGK"/>
        <s v="DXB-JFK"/>
        <s v="DXB-LHR"/>
        <s v="DXB-BOM"/>
        <s v="DXB-NBO"/>
      </sharedItems>
    </cacheField>
    <cacheField name="Class" numFmtId="0">
      <sharedItems count="4">
        <s v="Y"/>
        <s v="M"/>
        <s v="C"/>
        <s v="F"/>
      </sharedItems>
    </cacheField>
    <cacheField name="PassengerType" numFmtId="0">
      <sharedItems count="3">
        <s v="ADT"/>
        <s v="CHD"/>
        <s v="INF"/>
      </sharedItems>
    </cacheField>
    <cacheField name="FareCharged" numFmtId="0">
      <sharedItems containsSemiMixedTypes="0" containsString="0" containsNumber="1" containsInteger="1" minValue="151" maxValue="1990"/>
    </cacheField>
    <cacheField name="Taxes" numFmtId="0">
      <sharedItems containsSemiMixedTypes="0" containsString="0" containsNumber="1" containsInteger="1" minValue="50" maxValue="399"/>
    </cacheField>
    <cacheField name="Currency" numFmtId="0">
      <sharedItems/>
    </cacheField>
    <cacheField name="AgentCode" numFmtId="0">
      <sharedItems count="5">
        <s v="AGT005"/>
        <s v="AGT004"/>
        <s v="AGT003"/>
        <s v="AGT002"/>
        <s v="AGT001"/>
      </sharedItems>
    </cacheField>
    <cacheField name="SaleDate" numFmtId="14">
      <sharedItems containsSemiMixedTypes="0" containsNonDate="0" containsDate="1" containsString="0" minDate="2025-01-01T00:00:00" maxDate="2025-05-02T00:00:00" count="118">
        <d v="2025-02-11T00:00:00"/>
        <d v="2025-01-13T00:00:00"/>
        <d v="2025-03-14T00:00:00"/>
        <d v="2025-03-15T00:00:00"/>
        <d v="2025-01-01T00:00:00"/>
        <d v="2025-02-02T00:00:00"/>
        <d v="2025-01-12T00:00:00"/>
        <d v="2025-04-23T00:00:00"/>
        <d v="2025-01-07T00:00:00"/>
        <d v="2025-02-09T00:00:00"/>
        <d v="2025-03-17T00:00:00"/>
        <d v="2025-02-25T00:00:00"/>
        <d v="2025-03-09T00:00:00"/>
        <d v="2025-02-07T00:00:00"/>
        <d v="2025-01-16T00:00:00"/>
        <d v="2025-04-25T00:00:00"/>
        <d v="2025-04-01T00:00:00"/>
        <d v="2025-04-26T00:00:00"/>
        <d v="2025-02-27T00:00:00"/>
        <d v="2025-02-24T00:00:00"/>
        <d v="2025-03-24T00:00:00"/>
        <d v="2025-01-28T00:00:00"/>
        <d v="2025-03-29T00:00:00"/>
        <d v="2025-02-04T00:00:00"/>
        <d v="2025-02-06T00:00:00"/>
        <d v="2025-01-09T00:00:00"/>
        <d v="2025-01-10T00:00:00"/>
        <d v="2025-03-20T00:00:00"/>
        <d v="2025-04-14T00:00:00"/>
        <d v="2025-02-14T00:00:00"/>
        <d v="2025-04-03T00:00:00"/>
        <d v="2025-04-27T00:00:00"/>
        <d v="2025-03-19T00:00:00"/>
        <d v="2025-03-27T00:00:00"/>
        <d v="2025-01-30T00:00:00"/>
        <d v="2025-04-12T00:00:00"/>
        <d v="2025-04-24T00:00:00"/>
        <d v="2025-02-21T00:00:00"/>
        <d v="2025-03-18T00:00:00"/>
        <d v="2025-04-22T00:00:00"/>
        <d v="2025-04-18T00:00:00"/>
        <d v="2025-05-01T00:00:00"/>
        <d v="2025-03-03T00:00:00"/>
        <d v="2025-01-21T00:00:00"/>
        <d v="2025-03-05T00:00:00"/>
        <d v="2025-01-27T00:00:00"/>
        <d v="2025-01-05T00:00:00"/>
        <d v="2025-04-20T00:00:00"/>
        <d v="2025-03-22T00:00:00"/>
        <d v="2025-04-15T00:00:00"/>
        <d v="2025-04-29T00:00:00"/>
        <d v="2025-01-14T00:00:00"/>
        <d v="2025-04-16T00:00:00"/>
        <d v="2025-03-07T00:00:00"/>
        <d v="2025-02-28T00:00:00"/>
        <d v="2025-01-19T00:00:00"/>
        <d v="2025-01-25T00:00:00"/>
        <d v="2025-02-03T00:00:00"/>
        <d v="2025-02-22T00:00:00"/>
        <d v="2025-02-20T00:00:00"/>
        <d v="2025-04-30T00:00:00"/>
        <d v="2025-04-13T00:00:00"/>
        <d v="2025-04-09T00:00:00"/>
        <d v="2025-04-21T00:00:00"/>
        <d v="2025-01-26T00:00:00"/>
        <d v="2025-02-23T00:00:00"/>
        <d v="2025-04-05T00:00:00"/>
        <d v="2025-02-16T00:00:00"/>
        <d v="2025-03-23T00:00:00"/>
        <d v="2025-04-17T00:00:00"/>
        <d v="2025-02-13T00:00:00"/>
        <d v="2025-01-17T00:00:00"/>
        <d v="2025-02-26T00:00:00"/>
        <d v="2025-01-29T00:00:00"/>
        <d v="2025-01-24T00:00:00"/>
        <d v="2025-01-11T00:00:00"/>
        <d v="2025-01-08T00:00:00"/>
        <d v="2025-02-10T00:00:00"/>
        <d v="2025-01-31T00:00:00"/>
        <d v="2025-01-15T00:00:00"/>
        <d v="2025-04-08T00:00:00"/>
        <d v="2025-03-06T00:00:00"/>
        <d v="2025-03-12T00:00:00"/>
        <d v="2025-02-19T00:00:00"/>
        <d v="2025-04-19T00:00:00"/>
        <d v="2025-03-21T00:00:00"/>
        <d v="2025-03-02T00:00:00"/>
        <d v="2025-04-28T00:00:00"/>
        <d v="2025-01-03T00:00:00"/>
        <d v="2025-04-02T00:00:00"/>
        <d v="2025-03-25T00:00:00"/>
        <d v="2025-01-23T00:00:00"/>
        <d v="2025-04-04T00:00:00"/>
        <d v="2025-02-08T00:00:00"/>
        <d v="2025-01-22T00:00:00"/>
        <d v="2025-03-30T00:00:00"/>
        <d v="2025-02-05T00:00:00"/>
        <d v="2025-04-06T00:00:00"/>
        <d v="2025-03-13T00:00:00"/>
        <d v="2025-03-28T00:00:00"/>
        <d v="2025-02-18T00:00:00"/>
        <d v="2025-03-08T00:00:00"/>
        <d v="2025-02-01T00:00:00"/>
        <d v="2025-01-18T00:00:00"/>
        <d v="2025-01-06T00:00:00"/>
        <d v="2025-03-16T00:00:00"/>
        <d v="2025-01-04T00:00:00"/>
        <d v="2025-02-12T00:00:00"/>
        <d v="2025-02-15T00:00:00"/>
        <d v="2025-03-31T00:00:00"/>
        <d v="2025-03-11T00:00:00"/>
        <d v="2025-04-10T00:00:00"/>
        <d v="2025-03-04T00:00:00"/>
        <d v="2025-04-07T00:00:00"/>
        <d v="2025-01-02T00:00:00"/>
        <d v="2025-03-01T00:00:00"/>
        <d v="2025-03-10T00:00:00"/>
        <d v="2025-02-17T00:00:00"/>
      </sharedItems>
      <fieldGroup par="10"/>
    </cacheField>
    <cacheField name="Days (SaleDate)" numFmtId="0" databaseField="0">
      <fieldGroup base="8">
        <rangePr groupBy="days" startDate="2025-01-01T00:00:00" endDate="2025-05-02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2/2025"/>
        </groupItems>
      </fieldGroup>
    </cacheField>
    <cacheField name="Months (SaleDate)" numFmtId="0" databaseField="0">
      <fieldGroup base="8">
        <rangePr groupBy="months" startDate="2025-01-01T00:00:00" endDate="2025-05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176-10000001"/>
    <x v="0"/>
    <x v="0"/>
    <s v="ADT"/>
    <n v="1416"/>
    <n v="51"/>
    <s v="USD"/>
    <s v="AGT004"/>
    <d v="2025-01-13T00:00:00"/>
    <n v="1381.1470770737874"/>
    <d v="2025-02-09T00:00:00"/>
    <s v="Customer Request"/>
    <n v="-27"/>
    <n v="0.97538635386566908"/>
    <s v="OK"/>
  </r>
  <r>
    <s v="176-10000002"/>
    <x v="1"/>
    <x v="0"/>
    <s v="CHD"/>
    <n v="1666"/>
    <n v="342"/>
    <s v="USD"/>
    <s v="AGT005"/>
    <d v="2025-03-14T00:00:00"/>
    <n v="1418.2162377784941"/>
    <d v="2025-04-07T00:00:00"/>
    <s v="Customer Request"/>
    <n v="-24"/>
    <n v="0.85127025076740348"/>
    <s v="OK"/>
  </r>
  <r>
    <s v="176-10000007"/>
    <x v="1"/>
    <x v="0"/>
    <s v="ADT"/>
    <n v="974"/>
    <n v="160"/>
    <s v="USD"/>
    <s v="AGT005"/>
    <d v="2025-04-23T00:00:00"/>
    <n v="632.1514256074089"/>
    <d v="2025-05-14T00:00:00"/>
    <s v="Schedule Change"/>
    <n v="-21"/>
    <n v="0.64902610431972163"/>
    <s v="OK"/>
  </r>
  <r>
    <s v="176-10000011"/>
    <x v="1"/>
    <x v="1"/>
    <s v="ADT"/>
    <n v="655"/>
    <n v="179"/>
    <s v="USD"/>
    <s v="AGT005"/>
    <d v="2025-02-25T00:00:00"/>
    <n v="362.00701203715545"/>
    <d v="2025-02-28T00:00:00"/>
    <s v="Customer Request"/>
    <n v="-3"/>
    <n v="0.55268246112542818"/>
    <s v="SLA Breach"/>
  </r>
  <r>
    <s v="176-10000015"/>
    <x v="2"/>
    <x v="2"/>
    <s v="ADT"/>
    <n v="1946"/>
    <n v="394"/>
    <s v="USD"/>
    <s v="AGT005"/>
    <d v="2025-04-25T00:00:00"/>
    <n v="1733.7146190346225"/>
    <d v="2025-05-19T00:00:00"/>
    <s v="Schedule Change"/>
    <n v="-24"/>
    <n v="0.89091193167246785"/>
    <s v="OK"/>
  </r>
  <r>
    <s v="176-10000025"/>
    <x v="0"/>
    <x v="1"/>
    <s v="ADT"/>
    <n v="1663"/>
    <n v="59"/>
    <s v="USD"/>
    <s v="AGT005"/>
    <d v="2025-03-29T00:00:00"/>
    <n v="1367.1100776572241"/>
    <d v="2025-04-16T00:00:00"/>
    <s v="Duplicate Ticket"/>
    <n v="-18"/>
    <n v="0.82207461073795796"/>
    <s v="OK"/>
  </r>
  <r>
    <s v="176-10000027"/>
    <x v="3"/>
    <x v="0"/>
    <s v="CHD"/>
    <n v="839"/>
    <n v="167"/>
    <s v="USD"/>
    <s v="AGT004"/>
    <d v="2025-02-06T00:00:00"/>
    <n v="439.71403219898775"/>
    <d v="2025-03-13T00:00:00"/>
    <s v="Duplicate Ticket"/>
    <n v="-35"/>
    <n v="0.52409300619664811"/>
    <s v="OK"/>
  </r>
  <r>
    <s v="176-10000035"/>
    <x v="4"/>
    <x v="1"/>
    <s v="CHD"/>
    <n v="930"/>
    <n v="182"/>
    <s v="USD"/>
    <s v="AGT005"/>
    <d v="2025-04-03T00:00:00"/>
    <n v="632.42346664395495"/>
    <d v="2025-04-12T00:00:00"/>
    <s v="Schedule Change"/>
    <n v="-9"/>
    <n v="0.68002523295048922"/>
    <s v="SLA Breach"/>
  </r>
  <r>
    <s v="176-10000037"/>
    <x v="1"/>
    <x v="2"/>
    <s v="ADT"/>
    <n v="1042"/>
    <n v="313"/>
    <s v="USD"/>
    <s v="AGT004"/>
    <d v="2025-03-19T00:00:00"/>
    <n v="1019.492703867313"/>
    <d v="2025-04-11T00:00:00"/>
    <s v="No-show"/>
    <n v="-23"/>
    <n v="0.97839990774214303"/>
    <s v="OK"/>
  </r>
  <r>
    <s v="176-10000047"/>
    <x v="2"/>
    <x v="3"/>
    <s v="ADT"/>
    <n v="784"/>
    <n v="214"/>
    <s v="USD"/>
    <s v="AGT002"/>
    <d v="2025-04-22T00:00:00"/>
    <n v="588.15724911839891"/>
    <d v="2025-04-26T00:00:00"/>
    <s v="Duplicate Ticket"/>
    <n v="-4"/>
    <n v="0.75020057285510067"/>
    <s v="SLA Breach"/>
  </r>
  <r>
    <s v="176-10000048"/>
    <x v="3"/>
    <x v="3"/>
    <s v="ADT"/>
    <n v="1137"/>
    <n v="354"/>
    <s v="USD"/>
    <s v="AGT005"/>
    <d v="2025-03-15T00:00:00"/>
    <n v="814.50651382720207"/>
    <d v="2025-04-29T00:00:00"/>
    <s v="Customer Request"/>
    <n v="-45"/>
    <n v="0.71636456800985227"/>
    <s v="OK"/>
  </r>
  <r>
    <s v="176-10000049"/>
    <x v="2"/>
    <x v="1"/>
    <s v="ADT"/>
    <n v="1714"/>
    <n v="169"/>
    <s v="USD"/>
    <s v="AGT002"/>
    <d v="2025-04-18T00:00:00"/>
    <n v="1249.2485616215151"/>
    <d v="2025-05-25T00:00:00"/>
    <s v="Schedule Change"/>
    <n v="-37"/>
    <n v="0.72884980257964715"/>
    <s v="OK"/>
  </r>
  <r>
    <s v="176-10000050"/>
    <x v="4"/>
    <x v="0"/>
    <s v="ADT"/>
    <n v="1822"/>
    <n v="93"/>
    <s v="USD"/>
    <s v="AGT005"/>
    <d v="2025-05-01T00:00:00"/>
    <n v="1101.2921615687042"/>
    <d v="2025-06-09T00:00:00"/>
    <s v="Customer Request"/>
    <n v="-39"/>
    <n v="0.60444136200258192"/>
    <s v="OK"/>
  </r>
  <r>
    <s v="176-10000053"/>
    <x v="3"/>
    <x v="3"/>
    <s v="CHD"/>
    <n v="887"/>
    <n v="256"/>
    <s v="USD"/>
    <s v="AGT001"/>
    <d v="2025-03-05T00:00:00"/>
    <n v="607.02163027853669"/>
    <d v="2025-03-29T00:00:00"/>
    <s v="Customer Request"/>
    <n v="-24"/>
    <n v="0.68435358543239766"/>
    <s v="OK"/>
  </r>
  <r>
    <s v="176-10000059"/>
    <x v="2"/>
    <x v="3"/>
    <s v="ADT"/>
    <n v="1710"/>
    <n v="69"/>
    <s v="USD"/>
    <s v="AGT005"/>
    <d v="2025-01-05T00:00:00"/>
    <n v="1171.1903338690358"/>
    <d v="2025-01-08T00:00:00"/>
    <s v="No-show"/>
    <n v="-3"/>
    <n v="0.68490662799358826"/>
    <s v="SLA Breach"/>
  </r>
  <r>
    <s v="176-10000062"/>
    <x v="1"/>
    <x v="2"/>
    <s v="ADT"/>
    <n v="1104"/>
    <n v="50"/>
    <s v="USD"/>
    <s v="AGT002"/>
    <d v="2025-04-15T00:00:00"/>
    <n v="580.89997114348478"/>
    <d v="2025-05-03T00:00:00"/>
    <s v="Customer Request"/>
    <n v="-18"/>
    <n v="0.52617751009373626"/>
    <s v="OK"/>
  </r>
  <r>
    <s v="176-10000067"/>
    <x v="2"/>
    <x v="3"/>
    <s v="ADT"/>
    <n v="187"/>
    <n v="108"/>
    <s v="USD"/>
    <s v="AGT003"/>
    <d v="2025-01-14T00:00:00"/>
    <n v="165.26757326642536"/>
    <d v="2025-02-12T00:00:00"/>
    <s v="No-show"/>
    <n v="-29"/>
    <n v="0.88378381425895913"/>
    <s v="OK"/>
  </r>
  <r>
    <s v="176-10000069"/>
    <x v="4"/>
    <x v="0"/>
    <s v="INF"/>
    <n v="1424"/>
    <n v="210"/>
    <s v="USD"/>
    <s v="AGT003"/>
    <d v="2025-04-16T00:00:00"/>
    <n v="1008.551155515562"/>
    <d v="2025-05-15T00:00:00"/>
    <s v="Duplicate Ticket"/>
    <n v="-29"/>
    <n v="0.70825221595193955"/>
    <s v="OK"/>
  </r>
  <r>
    <s v="176-10000071"/>
    <x v="4"/>
    <x v="0"/>
    <s v="ADT"/>
    <n v="1775"/>
    <n v="255"/>
    <s v="USD"/>
    <s v="AGT001"/>
    <d v="2025-03-07T00:00:00"/>
    <n v="1617.1846495495756"/>
    <d v="2025-03-18T00:00:00"/>
    <s v="Schedule Change"/>
    <n v="-11"/>
    <n v="0.91108994340821159"/>
    <s v="SLA Breach"/>
  </r>
  <r>
    <s v="176-10000072"/>
    <x v="5"/>
    <x v="0"/>
    <s v="ADT"/>
    <n v="1063"/>
    <n v="61"/>
    <s v="USD"/>
    <s v="AGT004"/>
    <d v="2025-01-01T00:00:00"/>
    <n v="983.4599625952244"/>
    <d v="2025-02-11T00:00:00"/>
    <s v="Customer Request"/>
    <n v="-41"/>
    <n v="0.9251740005599477"/>
    <s v="OK"/>
  </r>
  <r>
    <s v="176-10000073"/>
    <x v="2"/>
    <x v="2"/>
    <s v="ADT"/>
    <n v="603"/>
    <n v="325"/>
    <s v="USD"/>
    <s v="AGT005"/>
    <d v="2025-02-28T00:00:00"/>
    <n v="365.41620749164542"/>
    <d v="2025-03-11T00:00:00"/>
    <s v="Schedule Change"/>
    <n v="-11"/>
    <n v="0.60599702734932903"/>
    <s v="SLA Breach"/>
  </r>
  <r>
    <s v="176-10000075"/>
    <x v="0"/>
    <x v="2"/>
    <s v="ADT"/>
    <n v="1489"/>
    <n v="291"/>
    <s v="USD"/>
    <s v="AGT005"/>
    <d v="2025-01-25T00:00:00"/>
    <n v="1233.8996674756606"/>
    <d v="2025-03-08T00:00:00"/>
    <s v="Customer Request"/>
    <n v="-42"/>
    <n v="0.82867674108506417"/>
    <s v="OK"/>
  </r>
  <r>
    <s v="176-10000078"/>
    <x v="2"/>
    <x v="3"/>
    <s v="ADT"/>
    <n v="945"/>
    <n v="348"/>
    <s v="USD"/>
    <s v="AGT005"/>
    <d v="2025-02-20T00:00:00"/>
    <n v="695.65315246700891"/>
    <d v="2025-03-21T00:00:00"/>
    <s v="Schedule Change"/>
    <n v="-29"/>
    <n v="0.73614090208149086"/>
    <s v="OK"/>
  </r>
  <r>
    <s v="176-10000080"/>
    <x v="5"/>
    <x v="3"/>
    <s v="ADT"/>
    <n v="742"/>
    <n v="266"/>
    <s v="USD"/>
    <s v="AGT001"/>
    <d v="2025-04-30T00:00:00"/>
    <n v="697.53814976887099"/>
    <d v="2025-05-03T00:00:00"/>
    <s v="Customer Request"/>
    <n v="-3"/>
    <n v="0.94007836896074259"/>
    <s v="SLA Breach"/>
  </r>
  <r>
    <s v="176-10000094"/>
    <x v="2"/>
    <x v="1"/>
    <s v="ADT"/>
    <n v="1462"/>
    <n v="385"/>
    <s v="USD"/>
    <s v="AGT003"/>
    <d v="2025-04-05T00:00:00"/>
    <n v="888.70643647798784"/>
    <d v="2025-05-14T00:00:00"/>
    <s v="Customer Request"/>
    <n v="-39"/>
    <n v="0.607870339588227"/>
    <s v="OK"/>
  </r>
  <r>
    <s v="176-10000095"/>
    <x v="2"/>
    <x v="2"/>
    <s v="ADT"/>
    <n v="1435"/>
    <n v="283"/>
    <s v="USD"/>
    <s v="AGT003"/>
    <d v="2025-02-16T00:00:00"/>
    <n v="1203.8309712224566"/>
    <d v="2025-03-21T00:00:00"/>
    <s v="Customer Request"/>
    <n v="-33"/>
    <n v="0.83890660015502205"/>
    <s v="OK"/>
  </r>
  <r>
    <s v="176-10000098"/>
    <x v="3"/>
    <x v="1"/>
    <s v="ADT"/>
    <n v="485"/>
    <n v="178"/>
    <s v="USD"/>
    <s v="AGT003"/>
    <d v="2025-04-20T00:00:00"/>
    <n v="389.87988964628528"/>
    <d v="2025-05-04T00:00:00"/>
    <s v="Customer Request"/>
    <n v="-14"/>
    <n v="0.80387606112636145"/>
    <s v="OK"/>
  </r>
  <r>
    <s v="176-10000102"/>
    <x v="3"/>
    <x v="2"/>
    <s v="ADT"/>
    <n v="720"/>
    <n v="135"/>
    <s v="USD"/>
    <s v="AGT002"/>
    <d v="2025-04-01T00:00:00"/>
    <n v="466.30853192585982"/>
    <d v="2025-04-18T00:00:00"/>
    <s v="Customer Request"/>
    <n v="-17"/>
    <n v="0.64765073878591639"/>
    <s v="OK"/>
  </r>
  <r>
    <s v="176-10000105"/>
    <x v="2"/>
    <x v="2"/>
    <s v="ADT"/>
    <n v="1854"/>
    <n v="242"/>
    <s v="USD"/>
    <s v="AGT001"/>
    <d v="2025-02-26T00:00:00"/>
    <n v="1053.6290376846371"/>
    <d v="2025-04-03T00:00:00"/>
    <s v="Customer Request"/>
    <n v="-36"/>
    <n v="0.56830045182558631"/>
    <s v="OK"/>
  </r>
  <r>
    <s v="176-10000106"/>
    <x v="1"/>
    <x v="0"/>
    <s v="ADT"/>
    <n v="930"/>
    <n v="360"/>
    <s v="USD"/>
    <s v="AGT001"/>
    <d v="2025-01-29T00:00:00"/>
    <n v="768.01248862193358"/>
    <d v="2025-02-05T00:00:00"/>
    <s v="Customer Request"/>
    <n v="-7"/>
    <n v="0.82581988023863828"/>
    <s v="SLA Breach"/>
  </r>
  <r>
    <s v="176-10000109"/>
    <x v="1"/>
    <x v="1"/>
    <s v="ADT"/>
    <n v="1518"/>
    <n v="163"/>
    <s v="USD"/>
    <s v="AGT003"/>
    <d v="2025-04-21T00:00:00"/>
    <n v="1319.5954707224389"/>
    <d v="2025-04-28T00:00:00"/>
    <s v="Customer Request"/>
    <n v="-7"/>
    <n v="0.86929872906616523"/>
    <s v="SLA Breach"/>
  </r>
  <r>
    <s v="176-10000113"/>
    <x v="0"/>
    <x v="2"/>
    <s v="INF"/>
    <n v="340"/>
    <n v="352"/>
    <s v="USD"/>
    <s v="AGT001"/>
    <d v="2025-01-28T00:00:00"/>
    <n v="223.65664843976947"/>
    <d v="2025-02-22T00:00:00"/>
    <s v="Customer Request"/>
    <n v="-25"/>
    <n v="0.65781367188167494"/>
    <s v="OK"/>
  </r>
  <r>
    <s v="176-10000115"/>
    <x v="5"/>
    <x v="2"/>
    <s v="CHD"/>
    <n v="571"/>
    <n v="125"/>
    <s v="USD"/>
    <s v="AGT001"/>
    <d v="2025-01-11T00:00:00"/>
    <n v="469.59970844837056"/>
    <d v="2025-02-08T00:00:00"/>
    <s v="Schedule Change"/>
    <n v="-28"/>
    <n v="0.8224163020111569"/>
    <s v="OK"/>
  </r>
  <r>
    <s v="176-10000116"/>
    <x v="3"/>
    <x v="3"/>
    <s v="ADT"/>
    <n v="849"/>
    <n v="377"/>
    <s v="USD"/>
    <s v="AGT002"/>
    <d v="2025-01-08T00:00:00"/>
    <n v="592.23307028108309"/>
    <d v="2025-01-27T00:00:00"/>
    <s v="No-show"/>
    <n v="-19"/>
    <n v="0.69756545380575152"/>
    <s v="OK"/>
  </r>
  <r>
    <s v="176-10000122"/>
    <x v="4"/>
    <x v="1"/>
    <s v="ADT"/>
    <n v="910"/>
    <n v="336"/>
    <s v="USD"/>
    <s v="AGT003"/>
    <d v="2025-03-03T00:00:00"/>
    <n v="779.50913189359107"/>
    <d v="2025-03-27T00:00:00"/>
    <s v="Customer Request"/>
    <n v="-24"/>
    <n v="0.85660344164130886"/>
    <s v="OK"/>
  </r>
  <r>
    <s v="176-10000124"/>
    <x v="1"/>
    <x v="0"/>
    <s v="CHD"/>
    <n v="684"/>
    <n v="102"/>
    <s v="USD"/>
    <s v="AGT005"/>
    <d v="2025-04-15T00:00:00"/>
    <n v="410.1316240137661"/>
    <d v="2025-05-06T00:00:00"/>
    <s v="No-show"/>
    <n v="-21"/>
    <n v="0.5996076374470265"/>
    <s v="OK"/>
  </r>
  <r>
    <s v="176-10000136"/>
    <x v="5"/>
    <x v="2"/>
    <s v="ADT"/>
    <n v="738"/>
    <n v="318"/>
    <s v="USD"/>
    <s v="AGT002"/>
    <d v="2025-02-14T00:00:00"/>
    <n v="697.48933597274834"/>
    <d v="2025-02-20T00:00:00"/>
    <s v="Customer Request"/>
    <n v="-6"/>
    <n v="0.94510750131808718"/>
    <s v="SLA Breach"/>
  </r>
  <r>
    <s v="176-10000148"/>
    <x v="2"/>
    <x v="2"/>
    <s v="ADT"/>
    <n v="1015"/>
    <n v="328"/>
    <s v="USD"/>
    <s v="AGT001"/>
    <d v="2025-01-03T00:00:00"/>
    <n v="653.3603702062818"/>
    <d v="2025-01-13T00:00:00"/>
    <s v="Customer Request"/>
    <n v="-10"/>
    <n v="0.64370479823278992"/>
    <s v="SLA Breach"/>
  </r>
  <r>
    <s v="176-10000162"/>
    <x v="0"/>
    <x v="0"/>
    <s v="ADT"/>
    <n v="1143"/>
    <n v="142"/>
    <s v="USD"/>
    <s v="AGT002"/>
    <d v="2025-02-07T00:00:00"/>
    <n v="781.68969200264144"/>
    <d v="2025-03-04T00:00:00"/>
    <s v="Schedule Change"/>
    <n v="-25"/>
    <n v="0.68389299387807645"/>
    <s v="OK"/>
  </r>
  <r>
    <s v="176-10000166"/>
    <x v="4"/>
    <x v="2"/>
    <s v="CHD"/>
    <n v="1395"/>
    <n v="151"/>
    <s v="USD"/>
    <s v="AGT004"/>
    <d v="2025-03-23T00:00:00"/>
    <n v="738.01913657604393"/>
    <d v="2025-04-10T00:00:00"/>
    <s v="Duplicate Ticket"/>
    <n v="-18"/>
    <n v="0.52904597604017489"/>
    <s v="OK"/>
  </r>
  <r>
    <s v="176-10000173"/>
    <x v="4"/>
    <x v="2"/>
    <s v="ADT"/>
    <n v="1415"/>
    <n v="331"/>
    <s v="USD"/>
    <s v="AGT005"/>
    <d v="2025-02-21T00:00:00"/>
    <n v="786.3948902173031"/>
    <d v="2025-03-02T00:00:00"/>
    <s v="Duplicate Ticket"/>
    <n v="-9"/>
    <n v="0.5557561061606382"/>
    <s v="SLA Breach"/>
  </r>
  <r>
    <s v="176-10000176"/>
    <x v="2"/>
    <x v="1"/>
    <s v="ADT"/>
    <n v="341"/>
    <n v="166"/>
    <s v="USD"/>
    <s v="AGT003"/>
    <d v="2025-03-20T00:00:00"/>
    <n v="258.45445441245192"/>
    <d v="2025-04-27T00:00:00"/>
    <s v="Schedule Change"/>
    <n v="-38"/>
    <n v="0.75793095135616395"/>
    <s v="OK"/>
  </r>
  <r>
    <s v="176-10000182"/>
    <x v="1"/>
    <x v="3"/>
    <s v="CHD"/>
    <n v="854"/>
    <n v="353"/>
    <s v="USD"/>
    <s v="AGT002"/>
    <d v="2025-04-09T00:00:00"/>
    <n v="541.26207296284383"/>
    <d v="2025-04-30T00:00:00"/>
    <s v="No-show"/>
    <n v="-21"/>
    <n v="0.63379633836398575"/>
    <s v="OK"/>
  </r>
  <r>
    <s v="176-10000186"/>
    <x v="0"/>
    <x v="3"/>
    <s v="CHD"/>
    <n v="359"/>
    <n v="320"/>
    <s v="USD"/>
    <s v="AGT005"/>
    <d v="2025-01-21T00:00:00"/>
    <n v="329.46870052072387"/>
    <d v="2025-01-23T00:00:00"/>
    <s v="Duplicate Ticket"/>
    <n v="-2"/>
    <n v="0.91774011287109714"/>
    <s v="SLA Breach"/>
  </r>
  <r>
    <s v="176-10000187"/>
    <x v="3"/>
    <x v="1"/>
    <s v="ADT"/>
    <n v="455"/>
    <n v="92"/>
    <s v="USD"/>
    <s v="AGT003"/>
    <d v="2025-01-29T00:00:00"/>
    <n v="230.842745919002"/>
    <d v="2025-02-01T00:00:00"/>
    <s v="Schedule Change"/>
    <n v="-3"/>
    <n v="0.50734669432747692"/>
    <s v="SLA Breach"/>
  </r>
  <r>
    <s v="176-10000188"/>
    <x v="1"/>
    <x v="0"/>
    <s v="ADT"/>
    <n v="1443"/>
    <n v="392"/>
    <s v="USD"/>
    <s v="AGT001"/>
    <d v="2025-01-01T00:00:00"/>
    <n v="995.01635611680183"/>
    <d v="2025-02-08T00:00:00"/>
    <s v="Schedule Change"/>
    <n v="-38"/>
    <n v="0.68954702433596804"/>
    <s v="OK"/>
  </r>
  <r>
    <s v="176-10000202"/>
    <x v="3"/>
    <x v="3"/>
    <s v="ADT"/>
    <n v="1206"/>
    <n v="373"/>
    <s v="USD"/>
    <s v="AGT001"/>
    <d v="2025-03-20T00:00:00"/>
    <n v="806.4193647017629"/>
    <d v="2025-05-04T00:00:00"/>
    <s v="Duplicate Ticket"/>
    <n v="-45"/>
    <n v="0.66867277338454634"/>
    <s v="OK"/>
  </r>
  <r>
    <s v="176-10000206"/>
    <x v="2"/>
    <x v="2"/>
    <s v="ADT"/>
    <n v="1096"/>
    <n v="339"/>
    <s v="USD"/>
    <s v="AGT002"/>
    <d v="2025-02-01T00:00:00"/>
    <n v="558.59154174284527"/>
    <d v="2025-02-04T00:00:00"/>
    <s v="No-show"/>
    <n v="-3"/>
    <n v="0.50966381545880046"/>
    <s v="SLA Breach"/>
  </r>
  <r>
    <s v="176-10000213"/>
    <x v="3"/>
    <x v="1"/>
    <s v="CHD"/>
    <n v="1458"/>
    <n v="340"/>
    <s v="USD"/>
    <s v="AGT001"/>
    <d v="2025-02-13T00:00:00"/>
    <n v="819.66456287137191"/>
    <d v="2025-03-23T00:00:00"/>
    <s v="Schedule Change"/>
    <n v="-38"/>
    <n v="0.56218419950025511"/>
    <s v="OK"/>
  </r>
  <r>
    <s v="176-10000215"/>
    <x v="1"/>
    <x v="2"/>
    <s v="INF"/>
    <n v="1272"/>
    <n v="193"/>
    <s v="USD"/>
    <s v="AGT003"/>
    <d v="2025-01-07T00:00:00"/>
    <n v="899.07674124825201"/>
    <d v="2025-02-08T00:00:00"/>
    <s v="Customer Request"/>
    <n v="-32"/>
    <n v="0.70682133745931763"/>
    <s v="OK"/>
  </r>
  <r>
    <s v="176-10000218"/>
    <x v="5"/>
    <x v="0"/>
    <s v="INF"/>
    <n v="188"/>
    <n v="195"/>
    <s v="USD"/>
    <s v="AGT005"/>
    <d v="2025-01-06T00:00:00"/>
    <n v="140.32927093805998"/>
    <d v="2025-01-12T00:00:00"/>
    <s v="No-show"/>
    <n v="-6"/>
    <n v="0.74643229222372331"/>
    <s v="SLA Breach"/>
  </r>
  <r>
    <s v="176-10000233"/>
    <x v="1"/>
    <x v="1"/>
    <s v="INF"/>
    <n v="1880"/>
    <n v="347"/>
    <s v="USD"/>
    <s v="AGT001"/>
    <d v="2025-02-21T00:00:00"/>
    <n v="1320.0323624195769"/>
    <d v="2025-04-02T00:00:00"/>
    <s v="No-show"/>
    <n v="-40"/>
    <n v="0.7021448736274345"/>
    <s v="OK"/>
  </r>
  <r>
    <s v="176-10000239"/>
    <x v="4"/>
    <x v="2"/>
    <s v="ADT"/>
    <n v="1138"/>
    <n v="222"/>
    <s v="USD"/>
    <s v="AGT003"/>
    <d v="2025-04-30T00:00:00"/>
    <n v="871.10353901648136"/>
    <d v="2025-05-16T00:00:00"/>
    <s v="Duplicate Ticket"/>
    <n v="-16"/>
    <n v="0.76546883920604691"/>
    <s v="OK"/>
  </r>
  <r>
    <s v="176-10000241"/>
    <x v="1"/>
    <x v="2"/>
    <s v="ADT"/>
    <n v="452"/>
    <n v="190"/>
    <s v="USD"/>
    <s v="AGT002"/>
    <d v="2025-02-25T00:00:00"/>
    <n v="360.49975852868403"/>
    <d v="2025-03-13T00:00:00"/>
    <s v="Duplicate Ticket"/>
    <n v="-16"/>
    <n v="0.79756583745284082"/>
    <s v="OK"/>
  </r>
  <r>
    <s v="176-10000242"/>
    <x v="3"/>
    <x v="3"/>
    <s v="ADT"/>
    <n v="1018"/>
    <n v="167"/>
    <s v="USD"/>
    <s v="AGT004"/>
    <d v="2025-01-07T00:00:00"/>
    <n v="514.05122495406829"/>
    <d v="2025-02-21T00:00:00"/>
    <s v="Customer Request"/>
    <n v="-45"/>
    <n v="0.50496191056391782"/>
    <s v="OK"/>
  </r>
  <r>
    <s v="176-10000243"/>
    <x v="3"/>
    <x v="1"/>
    <s v="ADT"/>
    <n v="233"/>
    <n v="326"/>
    <s v="USD"/>
    <s v="AGT004"/>
    <d v="2025-04-27T00:00:00"/>
    <n v="170.5670860763332"/>
    <d v="2025-05-14T00:00:00"/>
    <s v="Schedule Change"/>
    <n v="-17"/>
    <n v="0.73204757972675194"/>
    <s v="OK"/>
  </r>
  <r>
    <s v="176-10000244"/>
    <x v="2"/>
    <x v="0"/>
    <s v="INF"/>
    <n v="1947"/>
    <n v="263"/>
    <s v="USD"/>
    <s v="AGT002"/>
    <d v="2025-01-04T00:00:00"/>
    <n v="1911.4665110040671"/>
    <d v="2025-01-07T00:00:00"/>
    <s v="Duplicate Ticket"/>
    <n v="-3"/>
    <n v="0.9817496204437941"/>
    <s v="SLA Breach"/>
  </r>
  <r>
    <s v="176-10000256"/>
    <x v="1"/>
    <x v="1"/>
    <s v="ADT"/>
    <n v="942"/>
    <n v="98"/>
    <s v="USD"/>
    <s v="AGT004"/>
    <d v="2025-01-29T00:00:00"/>
    <n v="715.46420394101744"/>
    <d v="2025-03-13T00:00:00"/>
    <s v="Duplicate Ticket"/>
    <n v="-43"/>
    <n v="0.7595161400647743"/>
    <s v="OK"/>
  </r>
  <r>
    <s v="176-10000270"/>
    <x v="1"/>
    <x v="2"/>
    <s v="ADT"/>
    <n v="1482"/>
    <n v="213"/>
    <s v="USD"/>
    <s v="AGT004"/>
    <d v="2025-02-14T00:00:00"/>
    <n v="1243.0588201870842"/>
    <d v="2025-03-26T00:00:00"/>
    <s v="No-show"/>
    <n v="-40"/>
    <n v="0.83877113372947654"/>
    <s v="OK"/>
  </r>
  <r>
    <s v="176-10000277"/>
    <x v="5"/>
    <x v="3"/>
    <s v="INF"/>
    <n v="536"/>
    <n v="210"/>
    <s v="USD"/>
    <s v="AGT004"/>
    <d v="2025-01-19T00:00:00"/>
    <n v="351.5795139217247"/>
    <d v="2025-02-10T00:00:00"/>
    <s v="Duplicate Ticket"/>
    <n v="-22"/>
    <n v="0.65593192895844155"/>
    <s v="OK"/>
  </r>
  <r>
    <s v="176-10000284"/>
    <x v="3"/>
    <x v="0"/>
    <s v="CHD"/>
    <n v="1065"/>
    <n v="60"/>
    <s v="USD"/>
    <s v="AGT005"/>
    <d v="2025-04-17T00:00:00"/>
    <n v="944.65040886634608"/>
    <d v="2025-05-20T00:00:00"/>
    <s v="Duplicate Ticket"/>
    <n v="-33"/>
    <n v="0.88699568907638127"/>
    <s v="OK"/>
  </r>
  <r>
    <s v="176-10000287"/>
    <x v="1"/>
    <x v="2"/>
    <s v="ADT"/>
    <n v="1326"/>
    <n v="126"/>
    <s v="USD"/>
    <s v="AGT003"/>
    <d v="2025-01-05T00:00:00"/>
    <n v="1175.4469424838644"/>
    <d v="2025-01-08T00:00:00"/>
    <s v="Duplicate Ticket"/>
    <n v="-3"/>
    <n v="0.8864607409380576"/>
    <s v="SLA Breach"/>
  </r>
  <r>
    <s v="176-10000289"/>
    <x v="2"/>
    <x v="2"/>
    <s v="ADT"/>
    <n v="355"/>
    <n v="307"/>
    <s v="USD"/>
    <s v="AGT003"/>
    <d v="2025-01-08T00:00:00"/>
    <n v="270.03004845860966"/>
    <d v="2025-02-07T00:00:00"/>
    <s v="Duplicate Ticket"/>
    <n v="-30"/>
    <n v="0.76064802382706942"/>
    <s v="OK"/>
  </r>
  <r>
    <s v="176-10000291"/>
    <x v="3"/>
    <x v="0"/>
    <s v="ADT"/>
    <n v="1446"/>
    <n v="340"/>
    <s v="USD"/>
    <s v="AGT005"/>
    <d v="2025-03-19T00:00:00"/>
    <n v="1428.6579942308715"/>
    <d v="2025-04-08T00:00:00"/>
    <s v="No-show"/>
    <n v="-20"/>
    <n v="0.98800691163960686"/>
    <s v="OK"/>
  </r>
  <r>
    <s v="176-10000293"/>
    <x v="1"/>
    <x v="1"/>
    <s v="ADT"/>
    <n v="1913"/>
    <n v="134"/>
    <s v="USD"/>
    <s v="AGT003"/>
    <d v="2025-03-23T00:00:00"/>
    <n v="1076.5887804204781"/>
    <d v="2025-04-09T00:00:00"/>
    <s v="Customer Request"/>
    <n v="-17"/>
    <n v="0.56277510738132674"/>
    <s v="OK"/>
  </r>
  <r>
    <s v="176-10000294"/>
    <x v="3"/>
    <x v="1"/>
    <s v="ADT"/>
    <n v="670"/>
    <n v="195"/>
    <s v="USD"/>
    <s v="AGT005"/>
    <d v="2025-01-08T00:00:00"/>
    <n v="340.67746773800963"/>
    <d v="2025-02-06T00:00:00"/>
    <s v="Customer Request"/>
    <n v="-29"/>
    <n v="0.5084738324447905"/>
    <s v="OK"/>
  </r>
  <r>
    <s v="176-10000296"/>
    <x v="4"/>
    <x v="1"/>
    <s v="ADT"/>
    <n v="1166"/>
    <n v="91"/>
    <s v="USD"/>
    <s v="AGT005"/>
    <d v="2025-03-09T00:00:00"/>
    <n v="1032.0022374543871"/>
    <d v="2025-04-12T00:00:00"/>
    <s v="Schedule Change"/>
    <n v="-34"/>
    <n v="0.8850791058785481"/>
    <s v="OK"/>
  </r>
  <r>
    <s v="176-10000304"/>
    <x v="0"/>
    <x v="0"/>
    <s v="ADT"/>
    <n v="733"/>
    <n v="117"/>
    <s v="USD"/>
    <s v="AGT005"/>
    <d v="2025-01-25T00:00:00"/>
    <n v="662.32250444422948"/>
    <d v="2025-02-16T00:00:00"/>
    <s v="Duplicate Ticket"/>
    <n v="-22"/>
    <n v="0.90357776868244133"/>
    <s v="OK"/>
  </r>
  <r>
    <s v="176-10000305"/>
    <x v="5"/>
    <x v="1"/>
    <s v="CHD"/>
    <n v="544"/>
    <n v="267"/>
    <s v="USD"/>
    <s v="AGT004"/>
    <d v="2025-04-24T00:00:00"/>
    <n v="304.69636632079676"/>
    <d v="2025-05-21T00:00:00"/>
    <s v="No-show"/>
    <n v="-27"/>
    <n v="0.56010361456028812"/>
    <s v="OK"/>
  </r>
  <r>
    <s v="176-10000313"/>
    <x v="2"/>
    <x v="1"/>
    <s v="CHD"/>
    <n v="487"/>
    <n v="278"/>
    <s v="USD"/>
    <s v="AGT002"/>
    <d v="2025-03-14T00:00:00"/>
    <n v="308.16941982542056"/>
    <d v="2025-04-08T00:00:00"/>
    <s v="Schedule Change"/>
    <n v="-25"/>
    <n v="0.63279141647930304"/>
    <s v="OK"/>
  </r>
  <r>
    <s v="176-10000322"/>
    <x v="3"/>
    <x v="1"/>
    <s v="ADT"/>
    <n v="950"/>
    <n v="179"/>
    <s v="USD"/>
    <s v="AGT001"/>
    <d v="2025-03-12T00:00:00"/>
    <n v="483.33737259914881"/>
    <d v="2025-04-03T00:00:00"/>
    <s v="Schedule Change"/>
    <n v="-22"/>
    <n v="0.50877618168331451"/>
    <s v="OK"/>
  </r>
  <r>
    <s v="176-10000323"/>
    <x v="2"/>
    <x v="3"/>
    <s v="ADT"/>
    <n v="251"/>
    <n v="54"/>
    <s v="USD"/>
    <s v="AGT004"/>
    <d v="2025-02-15T00:00:00"/>
    <n v="162.31023065296088"/>
    <d v="2025-02-24T00:00:00"/>
    <s v="Customer Request"/>
    <n v="-9"/>
    <n v="0.64665430539028235"/>
    <s v="SLA Breach"/>
  </r>
  <r>
    <s v="176-10000333"/>
    <x v="1"/>
    <x v="2"/>
    <s v="ADT"/>
    <n v="1038"/>
    <n v="107"/>
    <s v="USD"/>
    <s v="AGT002"/>
    <d v="2025-03-27T00:00:00"/>
    <n v="920.26063256379052"/>
    <d v="2025-04-24T00:00:00"/>
    <s v="No-show"/>
    <n v="-28"/>
    <n v="0.88657093695933575"/>
    <s v="OK"/>
  </r>
  <r>
    <s v="176-10000334"/>
    <x v="4"/>
    <x v="1"/>
    <s v="ADT"/>
    <n v="1219"/>
    <n v="308"/>
    <s v="USD"/>
    <s v="AGT001"/>
    <d v="2025-03-27T00:00:00"/>
    <n v="925.19694164081682"/>
    <d v="2025-05-09T00:00:00"/>
    <s v="No-show"/>
    <n v="-43"/>
    <n v="0.75898026385628947"/>
    <s v="OK"/>
  </r>
  <r>
    <s v="176-10000337"/>
    <x v="5"/>
    <x v="3"/>
    <s v="ADT"/>
    <n v="741"/>
    <n v="179"/>
    <s v="USD"/>
    <s v="AGT001"/>
    <d v="2025-01-03T00:00:00"/>
    <n v="499.46941726885075"/>
    <d v="2025-01-28T00:00:00"/>
    <s v="No-show"/>
    <n v="-25"/>
    <n v="0.67404779658414404"/>
    <s v="OK"/>
  </r>
  <r>
    <s v="176-10000339"/>
    <x v="4"/>
    <x v="0"/>
    <s v="CHD"/>
    <n v="1259"/>
    <n v="221"/>
    <s v="USD"/>
    <s v="AGT004"/>
    <d v="2025-03-21T00:00:00"/>
    <n v="863.50988614353491"/>
    <d v="2025-05-02T00:00:00"/>
    <s v="Customer Request"/>
    <n v="-42"/>
    <n v="0.68586964745316514"/>
    <s v="OK"/>
  </r>
  <r>
    <s v="176-10000341"/>
    <x v="2"/>
    <x v="0"/>
    <s v="ADT"/>
    <n v="1833"/>
    <n v="151"/>
    <s v="USD"/>
    <s v="AGT004"/>
    <d v="2025-03-20T00:00:00"/>
    <n v="917.74059796822667"/>
    <d v="2025-04-03T00:00:00"/>
    <s v="Customer Request"/>
    <n v="-14"/>
    <n v="0.50067681285773413"/>
    <s v="OK"/>
  </r>
  <r>
    <s v="176-10000343"/>
    <x v="0"/>
    <x v="2"/>
    <s v="ADT"/>
    <n v="863"/>
    <n v="340"/>
    <s v="USD"/>
    <s v="AGT002"/>
    <d v="2025-04-15T00:00:00"/>
    <n v="560.86392764439927"/>
    <d v="2025-04-28T00:00:00"/>
    <s v="Customer Request"/>
    <n v="-13"/>
    <n v="0.64990026378261789"/>
    <s v="SLA Breach"/>
  </r>
  <r>
    <s v="176-10000344"/>
    <x v="2"/>
    <x v="3"/>
    <s v="ADT"/>
    <n v="1085"/>
    <n v="335"/>
    <s v="USD"/>
    <s v="AGT003"/>
    <d v="2025-04-28T00:00:00"/>
    <n v="893.20386733857731"/>
    <d v="2025-05-10T00:00:00"/>
    <s v="Customer Request"/>
    <n v="-12"/>
    <n v="0.8232293708189653"/>
    <s v="SLA Breach"/>
  </r>
  <r>
    <s v="176-10000347"/>
    <x v="2"/>
    <x v="1"/>
    <s v="ADT"/>
    <n v="374"/>
    <n v="199"/>
    <s v="USD"/>
    <s v="AGT004"/>
    <d v="2025-01-11T00:00:00"/>
    <n v="369.17436099365881"/>
    <d v="2025-01-26T00:00:00"/>
    <s v="Customer Request"/>
    <n v="-15"/>
    <n v="0.98709722190817861"/>
    <s v="OK"/>
  </r>
  <r>
    <s v="176-10000349"/>
    <x v="3"/>
    <x v="0"/>
    <s v="ADT"/>
    <n v="1918"/>
    <n v="85"/>
    <s v="USD"/>
    <s v="AGT001"/>
    <d v="2025-04-26T00:00:00"/>
    <n v="1771.3313330775595"/>
    <d v="2025-04-30T00:00:00"/>
    <s v="Duplicate Ticket"/>
    <n v="-4"/>
    <n v="0.92353041349194975"/>
    <s v="SLA Breach"/>
  </r>
  <r>
    <s v="176-10000354"/>
    <x v="0"/>
    <x v="3"/>
    <s v="ADT"/>
    <n v="1276"/>
    <n v="257"/>
    <s v="USD"/>
    <s v="AGT005"/>
    <d v="2025-03-24T00:00:00"/>
    <n v="653.05358744384762"/>
    <d v="2025-05-08T00:00:00"/>
    <s v="Duplicate Ticket"/>
    <n v="-45"/>
    <n v="0.51179748232276456"/>
    <s v="OK"/>
  </r>
  <r>
    <s v="176-10000359"/>
    <x v="2"/>
    <x v="3"/>
    <s v="ADT"/>
    <n v="1859"/>
    <n v="61"/>
    <s v="USD"/>
    <s v="AGT005"/>
    <d v="2025-01-22T00:00:00"/>
    <n v="1764.7120820452631"/>
    <d v="2025-02-03T00:00:00"/>
    <s v="No-show"/>
    <n v="-12"/>
    <n v="0.94928030233741956"/>
    <s v="SLA Breach"/>
  </r>
  <r>
    <s v="176-10000360"/>
    <x v="3"/>
    <x v="0"/>
    <s v="ADT"/>
    <n v="271"/>
    <n v="194"/>
    <s v="USD"/>
    <s v="AGT002"/>
    <d v="2025-04-18T00:00:00"/>
    <n v="241.62338500196384"/>
    <d v="2025-06-02T00:00:00"/>
    <s v="Schedule Change"/>
    <n v="-45"/>
    <n v="0.89159920664931303"/>
    <s v="OK"/>
  </r>
  <r>
    <s v="176-10000362"/>
    <x v="0"/>
    <x v="2"/>
    <s v="ADT"/>
    <n v="1143"/>
    <n v="52"/>
    <s v="USD"/>
    <s v="AGT002"/>
    <d v="2025-03-05T00:00:00"/>
    <n v="1017.4849546208154"/>
    <d v="2025-03-12T00:00:00"/>
    <s v="No-show"/>
    <n v="-7"/>
    <n v="0.89018806178549026"/>
    <s v="SLA Breach"/>
  </r>
  <r>
    <s v="176-10000363"/>
    <x v="3"/>
    <x v="3"/>
    <s v="ADT"/>
    <n v="255"/>
    <n v="193"/>
    <s v="USD"/>
    <s v="AGT005"/>
    <d v="2025-04-16T00:00:00"/>
    <n v="185.89445927295537"/>
    <d v="2025-04-21T00:00:00"/>
    <s v="Schedule Change"/>
    <n v="-5"/>
    <n v="0.72899787950178574"/>
    <s v="SLA Breach"/>
  </r>
  <r>
    <s v="176-10000365"/>
    <x v="0"/>
    <x v="3"/>
    <s v="ADT"/>
    <n v="577"/>
    <n v="286"/>
    <s v="USD"/>
    <s v="AGT002"/>
    <d v="2025-03-04T00:00:00"/>
    <n v="403.32452701737407"/>
    <d v="2025-03-20T00:00:00"/>
    <s v="Customer Request"/>
    <n v="-16"/>
    <n v="0.69900264647725141"/>
    <s v="OK"/>
  </r>
  <r>
    <s v="176-10000368"/>
    <x v="3"/>
    <x v="2"/>
    <s v="ADT"/>
    <n v="784"/>
    <n v="164"/>
    <s v="USD"/>
    <s v="AGT003"/>
    <d v="2025-04-03T00:00:00"/>
    <n v="510.74296570261146"/>
    <d v="2025-04-09T00:00:00"/>
    <s v="Schedule Change"/>
    <n v="-6"/>
    <n v="0.65145786441659626"/>
    <s v="SLA Breach"/>
  </r>
  <r>
    <s v="176-10000370"/>
    <x v="0"/>
    <x v="3"/>
    <s v="ADT"/>
    <n v="923"/>
    <n v="167"/>
    <s v="USD"/>
    <s v="AGT001"/>
    <d v="2025-04-17T00:00:00"/>
    <n v="491.8181774074398"/>
    <d v="2025-05-17T00:00:00"/>
    <s v="No-show"/>
    <n v="-30"/>
    <n v="0.53284742947718289"/>
    <s v="OK"/>
  </r>
  <r>
    <s v="176-10000371"/>
    <x v="0"/>
    <x v="3"/>
    <s v="ADT"/>
    <n v="1246"/>
    <n v="54"/>
    <s v="USD"/>
    <s v="AGT005"/>
    <d v="2025-01-14T00:00:00"/>
    <n v="765.19063145657458"/>
    <d v="2025-02-27T00:00:00"/>
    <s v="No-show"/>
    <n v="-44"/>
    <n v="0.61411768174684955"/>
    <s v="OK"/>
  </r>
  <r>
    <s v="176-10000373"/>
    <x v="1"/>
    <x v="2"/>
    <s v="ADT"/>
    <n v="372"/>
    <n v="370"/>
    <s v="USD"/>
    <s v="AGT001"/>
    <d v="2025-02-15T00:00:00"/>
    <n v="231.8682761059126"/>
    <d v="2025-03-11T00:00:00"/>
    <s v="Schedule Change"/>
    <n v="-24"/>
    <n v="0.62330181748901237"/>
    <s v="OK"/>
  </r>
  <r>
    <s v="176-10000377"/>
    <x v="4"/>
    <x v="3"/>
    <s v="ADT"/>
    <n v="865"/>
    <n v="133"/>
    <s v="USD"/>
    <s v="AGT002"/>
    <d v="2025-01-08T00:00:00"/>
    <n v="641.8633326496622"/>
    <d v="2025-02-18T00:00:00"/>
    <s v="Duplicate Ticket"/>
    <n v="-41"/>
    <n v="0.74203853485510085"/>
    <s v="OK"/>
  </r>
  <r>
    <s v="176-10000386"/>
    <x v="5"/>
    <x v="3"/>
    <s v="ADT"/>
    <n v="156"/>
    <n v="200"/>
    <s v="USD"/>
    <s v="AGT002"/>
    <d v="2025-04-20T00:00:00"/>
    <n v="136.30066371454211"/>
    <d v="2025-04-22T00:00:00"/>
    <s v="Customer Request"/>
    <n v="-2"/>
    <n v="0.87372220329834682"/>
    <s v="SLA Breach"/>
  </r>
  <r>
    <s v="176-10000389"/>
    <x v="3"/>
    <x v="2"/>
    <s v="CHD"/>
    <n v="357"/>
    <n v="115"/>
    <s v="USD"/>
    <s v="AGT003"/>
    <d v="2025-04-25T00:00:00"/>
    <n v="263.07505436903347"/>
    <d v="2025-05-13T00:00:00"/>
    <s v="Customer Request"/>
    <n v="-18"/>
    <n v="0.7369049141989733"/>
    <s v="OK"/>
  </r>
  <r>
    <s v="176-10000391"/>
    <x v="1"/>
    <x v="3"/>
    <s v="ADT"/>
    <n v="1563"/>
    <n v="307"/>
    <s v="USD"/>
    <s v="AGT001"/>
    <d v="2025-01-24T00:00:00"/>
    <n v="826.70543724295601"/>
    <d v="2025-02-02T00:00:00"/>
    <s v="No-show"/>
    <n v="-9"/>
    <n v="0.5289222247235803"/>
    <s v="SLA Breach"/>
  </r>
  <r>
    <s v="176-10000393"/>
    <x v="0"/>
    <x v="3"/>
    <s v="ADT"/>
    <n v="171"/>
    <n v="380"/>
    <s v="USD"/>
    <s v="AGT002"/>
    <d v="2025-01-23T00:00:00"/>
    <n v="167.39102798449142"/>
    <d v="2025-01-29T00:00:00"/>
    <s v="Duplicate Ticket"/>
    <n v="-6"/>
    <n v="0.97889490049410188"/>
    <s v="SLA Breach"/>
  </r>
  <r>
    <s v="176-10000397"/>
    <x v="5"/>
    <x v="3"/>
    <s v="CHD"/>
    <n v="1300"/>
    <n v="203"/>
    <s v="USD"/>
    <s v="AGT005"/>
    <d v="2025-02-16T00:00:00"/>
    <n v="1262.7708074111729"/>
    <d v="2025-03-11T00:00:00"/>
    <s v="Schedule Change"/>
    <n v="-23"/>
    <n v="0.97136215954705607"/>
    <s v="OK"/>
  </r>
  <r>
    <s v="176-10000400"/>
    <x v="2"/>
    <x v="0"/>
    <s v="ADT"/>
    <n v="1023"/>
    <n v="311"/>
    <s v="USD"/>
    <s v="AGT001"/>
    <d v="2025-02-20T00:00:00"/>
    <n v="913.12445132041091"/>
    <d v="2025-03-16T00:00:00"/>
    <s v="Customer Request"/>
    <n v="-24"/>
    <n v="0.89259477157420419"/>
    <s v="OK"/>
  </r>
  <r>
    <s v="176-10000401"/>
    <x v="5"/>
    <x v="3"/>
    <s v="ADT"/>
    <n v="163"/>
    <n v="192"/>
    <s v="USD"/>
    <s v="AGT002"/>
    <d v="2025-03-24T00:00:00"/>
    <n v="162.29322397748399"/>
    <d v="2025-04-20T00:00:00"/>
    <s v="Duplicate Ticket"/>
    <n v="-27"/>
    <n v="0.99566395078211034"/>
    <s v="OK"/>
  </r>
  <r>
    <s v="176-10000403"/>
    <x v="2"/>
    <x v="1"/>
    <s v="ADT"/>
    <n v="1127"/>
    <n v="365"/>
    <s v="USD"/>
    <s v="AGT002"/>
    <d v="2025-01-11T00:00:00"/>
    <n v="870.31579453294808"/>
    <d v="2025-02-22T00:00:00"/>
    <s v="Customer Request"/>
    <n v="-42"/>
    <n v="0.77224116640013141"/>
    <s v="OK"/>
  </r>
  <r>
    <s v="176-10000404"/>
    <x v="0"/>
    <x v="1"/>
    <s v="INF"/>
    <n v="1163"/>
    <n v="150"/>
    <s v="USD"/>
    <s v="AGT003"/>
    <d v="2025-01-11T00:00:00"/>
    <n v="1141.3497956722392"/>
    <d v="2025-01-30T00:00:00"/>
    <s v="Duplicate Ticket"/>
    <n v="-19"/>
    <n v="0.98138417512660292"/>
    <s v="OK"/>
  </r>
  <r>
    <s v="176-10000414"/>
    <x v="4"/>
    <x v="0"/>
    <s v="ADT"/>
    <n v="1740"/>
    <n v="265"/>
    <s v="USD"/>
    <s v="AGT004"/>
    <d v="2025-01-05T00:00:00"/>
    <n v="935.77638533657318"/>
    <d v="2025-02-05T00:00:00"/>
    <s v="Duplicate Ticket"/>
    <n v="-31"/>
    <n v="0.53780252030837539"/>
    <s v="OK"/>
  </r>
  <r>
    <s v="176-10000415"/>
    <x v="1"/>
    <x v="2"/>
    <s v="CHD"/>
    <n v="899"/>
    <n v="207"/>
    <s v="USD"/>
    <s v="AGT002"/>
    <d v="2025-01-16T00:00:00"/>
    <n v="613.87349634348641"/>
    <d v="2025-01-31T00:00:00"/>
    <s v="No-show"/>
    <n v="-15"/>
    <n v="0.68284037413068566"/>
    <s v="OK"/>
  </r>
  <r>
    <s v="176-10000417"/>
    <x v="5"/>
    <x v="0"/>
    <s v="ADT"/>
    <n v="834"/>
    <n v="116"/>
    <s v="USD"/>
    <s v="AGT004"/>
    <d v="2025-04-25T00:00:00"/>
    <n v="510.98398875882128"/>
    <d v="2025-05-24T00:00:00"/>
    <s v="Customer Request"/>
    <n v="-29"/>
    <n v="0.61269063400338286"/>
    <s v="OK"/>
  </r>
  <r>
    <s v="176-10000422"/>
    <x v="5"/>
    <x v="3"/>
    <s v="CHD"/>
    <n v="437"/>
    <n v="212"/>
    <s v="USD"/>
    <s v="AGT005"/>
    <d v="2025-02-01T00:00:00"/>
    <n v="261.28952888333805"/>
    <d v="2025-02-03T00:00:00"/>
    <s v="Schedule Change"/>
    <n v="-2"/>
    <n v="0.59791654206713518"/>
    <s v="SLA Breach"/>
  </r>
  <r>
    <s v="176-10000430"/>
    <x v="2"/>
    <x v="2"/>
    <s v="INF"/>
    <n v="1525"/>
    <n v="74"/>
    <s v="USD"/>
    <s v="AGT003"/>
    <d v="2025-04-20T00:00:00"/>
    <n v="869.86224853066551"/>
    <d v="2025-05-17T00:00:00"/>
    <s v="No-show"/>
    <n v="-27"/>
    <n v="0.57040147444633804"/>
    <s v="OK"/>
  </r>
  <r>
    <s v="176-10000431"/>
    <x v="0"/>
    <x v="2"/>
    <s v="INF"/>
    <n v="461"/>
    <n v="330"/>
    <s v="USD"/>
    <s v="AGT004"/>
    <d v="2025-04-15T00:00:00"/>
    <n v="373.96634438096225"/>
    <d v="2025-05-22T00:00:00"/>
    <s v="No-show"/>
    <n v="-37"/>
    <n v="0.81120682078299844"/>
    <s v="OK"/>
  </r>
  <r>
    <s v="176-10000433"/>
    <x v="0"/>
    <x v="3"/>
    <s v="ADT"/>
    <n v="1232"/>
    <n v="359"/>
    <s v="USD"/>
    <s v="AGT002"/>
    <d v="2025-04-22T00:00:00"/>
    <n v="1097.29426314034"/>
    <d v="2025-05-28T00:00:00"/>
    <s v="Schedule Change"/>
    <n v="-36"/>
    <n v="0.89066092787365259"/>
    <s v="OK"/>
  </r>
  <r>
    <s v="176-10000438"/>
    <x v="2"/>
    <x v="2"/>
    <s v="ADT"/>
    <n v="184"/>
    <n v="370"/>
    <s v="USD"/>
    <s v="AGT003"/>
    <d v="2025-03-27T00:00:00"/>
    <n v="145.20345274667318"/>
    <d v="2025-04-28T00:00:00"/>
    <s v="No-show"/>
    <n v="-32"/>
    <n v="0.78914919971018027"/>
    <s v="OK"/>
  </r>
  <r>
    <s v="176-10000443"/>
    <x v="1"/>
    <x v="0"/>
    <s v="ADT"/>
    <n v="1052"/>
    <n v="74"/>
    <s v="USD"/>
    <s v="AGT003"/>
    <d v="2025-01-14T00:00:00"/>
    <n v="603.30238524339836"/>
    <d v="2025-01-25T00:00:00"/>
    <s v="Duplicate Ticket"/>
    <n v="-11"/>
    <n v="0.57348135479410489"/>
    <s v="SLA Breach"/>
  </r>
  <r>
    <s v="176-10000452"/>
    <x v="1"/>
    <x v="2"/>
    <s v="CHD"/>
    <n v="954"/>
    <n v="177"/>
    <s v="USD"/>
    <s v="AGT005"/>
    <d v="2025-03-10T00:00:00"/>
    <n v="863.90603825826565"/>
    <d v="2025-04-16T00:00:00"/>
    <s v="Duplicate Ticket"/>
    <n v="-37"/>
    <n v="0.90556188496673551"/>
    <s v="OK"/>
  </r>
  <r>
    <s v="176-10000453"/>
    <x v="2"/>
    <x v="0"/>
    <s v="ADT"/>
    <n v="665"/>
    <n v="145"/>
    <s v="USD"/>
    <s v="AGT001"/>
    <d v="2025-02-13T00:00:00"/>
    <n v="543.95494013193968"/>
    <d v="2025-03-04T00:00:00"/>
    <s v="Customer Request"/>
    <n v="-19"/>
    <n v="0.81797735358186419"/>
    <s v="OK"/>
  </r>
  <r>
    <s v="176-10000457"/>
    <x v="5"/>
    <x v="3"/>
    <s v="ADT"/>
    <n v="681"/>
    <n v="383"/>
    <s v="USD"/>
    <s v="AGT004"/>
    <d v="2025-01-19T00:00:00"/>
    <n v="472.67042293624195"/>
    <d v="2025-02-05T00:00:00"/>
    <s v="Customer Request"/>
    <n v="-17"/>
    <n v="0.69408285306349771"/>
    <s v="OK"/>
  </r>
  <r>
    <s v="176-10000472"/>
    <x v="0"/>
    <x v="0"/>
    <s v="ADT"/>
    <n v="484"/>
    <n v="179"/>
    <s v="USD"/>
    <s v="AGT005"/>
    <d v="2025-03-15T00:00:00"/>
    <n v="405.13953151972726"/>
    <d v="2025-04-05T00:00:00"/>
    <s v="Schedule Change"/>
    <n v="-21"/>
    <n v="0.83706514776803154"/>
    <s v="OK"/>
  </r>
  <r>
    <s v="176-10000480"/>
    <x v="5"/>
    <x v="3"/>
    <s v="ADT"/>
    <n v="1419"/>
    <n v="378"/>
    <s v="USD"/>
    <s v="AGT005"/>
    <d v="2025-03-15T00:00:00"/>
    <n v="893.90258277278986"/>
    <d v="2025-03-30T00:00:00"/>
    <s v="Customer Request"/>
    <n v="-15"/>
    <n v="0.62995248962141637"/>
    <s v="OK"/>
  </r>
  <r>
    <s v="176-10000482"/>
    <x v="0"/>
    <x v="3"/>
    <s v="INF"/>
    <n v="1441"/>
    <n v="239"/>
    <s v="USD"/>
    <s v="AGT005"/>
    <d v="2025-03-15T00:00:00"/>
    <n v="969.21098622007867"/>
    <d v="2025-04-14T00:00:00"/>
    <s v="Duplicate Ticket"/>
    <n v="-30"/>
    <n v="0.67259610424710525"/>
    <s v="OK"/>
  </r>
  <r>
    <s v="176-10000483"/>
    <x v="4"/>
    <x v="0"/>
    <s v="ADT"/>
    <n v="1816"/>
    <n v="312"/>
    <s v="USD"/>
    <s v="AGT002"/>
    <d v="2025-04-06T00:00:00"/>
    <n v="1741.0771455638471"/>
    <d v="2025-04-12T00:00:00"/>
    <s v="Schedule Change"/>
    <n v="-6"/>
    <n v="0.95874292156599517"/>
    <s v="SLA Breach"/>
  </r>
  <r>
    <s v="176-10000485"/>
    <x v="0"/>
    <x v="2"/>
    <s v="ADT"/>
    <n v="679"/>
    <n v="301"/>
    <s v="USD"/>
    <s v="AGT004"/>
    <d v="2025-03-31T00:00:00"/>
    <n v="438.12627967544722"/>
    <d v="2025-05-04T00:00:00"/>
    <s v="Schedule Change"/>
    <n v="-34"/>
    <n v="0.64525225283571019"/>
    <s v="OK"/>
  </r>
  <r>
    <s v="176-10000487"/>
    <x v="2"/>
    <x v="2"/>
    <s v="INF"/>
    <n v="170"/>
    <n v="309"/>
    <s v="USD"/>
    <s v="AGT003"/>
    <d v="2025-03-28T00:00:00"/>
    <n v="124.94900279342461"/>
    <d v="2025-04-23T00:00:00"/>
    <s v="Customer Request"/>
    <n v="-26"/>
    <n v="0.7349941340789683"/>
    <s v="OK"/>
  </r>
  <r>
    <s v="176-10000498"/>
    <x v="0"/>
    <x v="1"/>
    <s v="INF"/>
    <n v="1089"/>
    <n v="227"/>
    <s v="USD"/>
    <s v="AGT005"/>
    <d v="2025-04-27T00:00:00"/>
    <n v="1029.18184931213"/>
    <d v="2025-05-08T00:00:00"/>
    <s v="Duplicate Ticket"/>
    <n v="-11"/>
    <n v="0.94507056869800732"/>
    <s v="SLA Breach"/>
  </r>
  <r>
    <s v="176-10000499"/>
    <x v="2"/>
    <x v="1"/>
    <s v="ADT"/>
    <n v="675"/>
    <n v="112"/>
    <s v="USD"/>
    <s v="AGT003"/>
    <d v="2025-05-01T00:00:00"/>
    <n v="576.35595571529052"/>
    <d v="2025-05-10T00:00:00"/>
    <s v="Schedule Change"/>
    <n v="-9"/>
    <n v="0.85386067513376374"/>
    <s v="SLA Breac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76-10000384"/>
    <x v="0"/>
    <n v="422"/>
    <x v="0"/>
    <s v="Pending"/>
    <d v="2025-01-02T00:00:00"/>
  </r>
  <r>
    <s v="176-10000425"/>
    <x v="1"/>
    <n v="423"/>
    <x v="1"/>
    <s v="Paid"/>
    <d v="2025-02-09T00:00:00"/>
  </r>
  <r>
    <s v="176-10000209"/>
    <x v="2"/>
    <n v="119"/>
    <x v="1"/>
    <s v="Paid"/>
    <d v="2025-04-02T00:00:00"/>
  </r>
  <r>
    <s v="176-10000303"/>
    <x v="2"/>
    <n v="182"/>
    <x v="1"/>
    <s v="Pending"/>
    <d v="2025-03-05T00:00:00"/>
  </r>
  <r>
    <s v="176-10000295"/>
    <x v="1"/>
    <n v="435"/>
    <x v="2"/>
    <s v="Paid"/>
    <d v="2025-01-30T00:00:00"/>
  </r>
  <r>
    <s v="176-10000096"/>
    <x v="3"/>
    <n v="141"/>
    <x v="1"/>
    <s v="Paid"/>
    <d v="2025-04-02T00:00:00"/>
  </r>
  <r>
    <s v="176-10000446"/>
    <x v="4"/>
    <n v="451"/>
    <x v="1"/>
    <s v="Paid"/>
    <d v="2025-01-22T00:00:00"/>
  </r>
  <r>
    <s v="176-10000459"/>
    <x v="2"/>
    <n v="63"/>
    <x v="3"/>
    <s v="Pending"/>
    <d v="2025-01-12T00:00:00"/>
  </r>
  <r>
    <s v="176-10000455"/>
    <x v="1"/>
    <n v="379"/>
    <x v="0"/>
    <s v="Pending"/>
    <d v="2025-03-16T00:00:00"/>
  </r>
  <r>
    <s v="176-10000471"/>
    <x v="1"/>
    <n v="427"/>
    <x v="0"/>
    <s v="Pending"/>
    <d v="2025-01-31T00:00:00"/>
  </r>
  <r>
    <s v="176-10000207"/>
    <x v="3"/>
    <n v="336"/>
    <x v="1"/>
    <s v="Paid"/>
    <d v="2025-03-21T00:00:00"/>
  </r>
  <r>
    <s v="176-10000369"/>
    <x v="3"/>
    <n v="400"/>
    <x v="0"/>
    <s v="Pending"/>
    <d v="2025-04-26T00:00:00"/>
  </r>
  <r>
    <s v="176-10000387"/>
    <x v="0"/>
    <n v="164"/>
    <x v="3"/>
    <s v="Paid"/>
    <d v="2025-01-27T00:00:00"/>
  </r>
  <r>
    <s v="176-10000421"/>
    <x v="2"/>
    <n v="346"/>
    <x v="3"/>
    <s v="Paid"/>
    <d v="2025-03-25T00:00:00"/>
  </r>
  <r>
    <s v="176-10000491"/>
    <x v="0"/>
    <n v="382"/>
    <x v="1"/>
    <s v="Paid"/>
    <d v="2025-01-02T00:00:00"/>
  </r>
  <r>
    <s v="176-10000410"/>
    <x v="1"/>
    <n v="69"/>
    <x v="3"/>
    <s v="Pending"/>
    <d v="2025-01-07T00:00:00"/>
  </r>
  <r>
    <s v="176-10000136"/>
    <x v="4"/>
    <n v="84"/>
    <x v="0"/>
    <s v="Pending"/>
    <d v="2025-02-21T00:00:00"/>
  </r>
  <r>
    <s v="176-10000366"/>
    <x v="4"/>
    <n v="374"/>
    <x v="2"/>
    <s v="Pending"/>
    <d v="2025-03-16T00:00:00"/>
  </r>
  <r>
    <s v="176-10000399"/>
    <x v="3"/>
    <n v="307"/>
    <x v="0"/>
    <s v="Pending"/>
    <d v="2025-01-21T00:00:00"/>
  </r>
  <r>
    <s v="176-10000183"/>
    <x v="4"/>
    <n v="183"/>
    <x v="2"/>
    <s v="Paid"/>
    <d v="2025-03-25T00:00:00"/>
  </r>
  <r>
    <s v="176-10000075"/>
    <x v="4"/>
    <n v="160"/>
    <x v="1"/>
    <s v="Pending"/>
    <d v="2025-04-13T00:00:00"/>
  </r>
  <r>
    <s v="176-10000286"/>
    <x v="4"/>
    <n v="473"/>
    <x v="2"/>
    <s v="Paid"/>
    <d v="2025-03-31T00:00:00"/>
  </r>
  <r>
    <s v="176-10000471"/>
    <x v="1"/>
    <n v="333"/>
    <x v="3"/>
    <s v="Pending"/>
    <d v="2025-02-24T00:00:00"/>
  </r>
  <r>
    <s v="176-10000374"/>
    <x v="4"/>
    <n v="147"/>
    <x v="0"/>
    <s v="Pending"/>
    <d v="2025-03-28T00:00:00"/>
  </r>
  <r>
    <s v="176-10000141"/>
    <x v="4"/>
    <n v="417"/>
    <x v="2"/>
    <s v="Pending"/>
    <d v="2025-03-02T00:00:00"/>
  </r>
  <r>
    <s v="176-10000236"/>
    <x v="4"/>
    <n v="440"/>
    <x v="0"/>
    <s v="Paid"/>
    <d v="2025-04-24T00:00:00"/>
  </r>
  <r>
    <s v="176-10000024"/>
    <x v="0"/>
    <n v="387"/>
    <x v="1"/>
    <s v="Paid"/>
    <d v="2025-04-11T00:00:00"/>
  </r>
  <r>
    <s v="176-10000289"/>
    <x v="1"/>
    <n v="482"/>
    <x v="1"/>
    <s v="Paid"/>
    <d v="2025-02-22T00:00:00"/>
  </r>
  <r>
    <s v="176-10000066"/>
    <x v="3"/>
    <n v="258"/>
    <x v="3"/>
    <s v="Paid"/>
    <d v="2025-04-25T00:00:00"/>
  </r>
  <r>
    <s v="176-10000249"/>
    <x v="0"/>
    <n v="343"/>
    <x v="1"/>
    <s v="Paid"/>
    <d v="2025-01-16T00:00:00"/>
  </r>
  <r>
    <s v="176-10000407"/>
    <x v="2"/>
    <n v="315"/>
    <x v="2"/>
    <s v="Pending"/>
    <d v="2025-01-10T00:00:00"/>
  </r>
  <r>
    <s v="176-10000117"/>
    <x v="1"/>
    <n v="206"/>
    <x v="1"/>
    <s v="Paid"/>
    <d v="2025-01-08T00:00:00"/>
  </r>
  <r>
    <s v="176-10000489"/>
    <x v="1"/>
    <n v="227"/>
    <x v="3"/>
    <s v="Paid"/>
    <d v="2025-04-17T00:00:00"/>
  </r>
  <r>
    <s v="176-10000072"/>
    <x v="2"/>
    <n v="239"/>
    <x v="0"/>
    <s v="Paid"/>
    <d v="2025-03-06T00:00:00"/>
  </r>
  <r>
    <s v="176-10000281"/>
    <x v="2"/>
    <n v="419"/>
    <x v="0"/>
    <s v="Paid"/>
    <d v="2025-01-09T00:00:00"/>
  </r>
  <r>
    <s v="176-10000403"/>
    <x v="2"/>
    <n v="209"/>
    <x v="1"/>
    <s v="Pending"/>
    <d v="2025-02-26T00:00:00"/>
  </r>
  <r>
    <s v="176-10000447"/>
    <x v="3"/>
    <n v="407"/>
    <x v="2"/>
    <s v="Paid"/>
    <d v="2025-02-05T00:00:00"/>
  </r>
  <r>
    <s v="176-10000359"/>
    <x v="4"/>
    <n v="448"/>
    <x v="3"/>
    <s v="Pending"/>
    <d v="2025-01-19T00:00:00"/>
  </r>
  <r>
    <s v="176-10000009"/>
    <x v="1"/>
    <n v="365"/>
    <x v="2"/>
    <s v="Pending"/>
    <d v="2025-02-17T00:00:00"/>
  </r>
  <r>
    <s v="176-10000210"/>
    <x v="4"/>
    <n v="303"/>
    <x v="3"/>
    <s v="Pending"/>
    <d v="2025-04-24T00:00:00"/>
  </r>
  <r>
    <s v="176-10000322"/>
    <x v="4"/>
    <n v="371"/>
    <x v="1"/>
    <s v="Paid"/>
    <d v="2025-04-04T00:00:00"/>
  </r>
  <r>
    <s v="176-10000151"/>
    <x v="2"/>
    <n v="256"/>
    <x v="3"/>
    <s v="Pending"/>
    <d v="2025-03-28T00:00:00"/>
  </r>
  <r>
    <s v="176-10000004"/>
    <x v="3"/>
    <n v="213"/>
    <x v="3"/>
    <s v="Paid"/>
    <d v="2025-04-21T00:00:00"/>
  </r>
  <r>
    <s v="176-10000194"/>
    <x v="0"/>
    <n v="306"/>
    <x v="1"/>
    <s v="Paid"/>
    <d v="2025-01-05T00:00:00"/>
  </r>
  <r>
    <s v="176-10000441"/>
    <x v="3"/>
    <n v="278"/>
    <x v="2"/>
    <s v="Paid"/>
    <d v="2025-01-31T00:00:00"/>
  </r>
  <r>
    <s v="176-10000282"/>
    <x v="4"/>
    <n v="265"/>
    <x v="1"/>
    <s v="Paid"/>
    <d v="2025-04-20T00:00:00"/>
  </r>
  <r>
    <s v="176-10000463"/>
    <x v="3"/>
    <n v="155"/>
    <x v="3"/>
    <s v="Paid"/>
    <d v="2025-04-27T00:00:00"/>
  </r>
  <r>
    <s v="176-10000112"/>
    <x v="2"/>
    <n v="299"/>
    <x v="1"/>
    <s v="Pending"/>
    <d v="2025-02-03T00:00:00"/>
  </r>
  <r>
    <s v="176-10000270"/>
    <x v="0"/>
    <n v="290"/>
    <x v="3"/>
    <s v="Pending"/>
    <d v="2025-01-10T00:00:00"/>
  </r>
  <r>
    <s v="176-10000162"/>
    <x v="2"/>
    <n v="190"/>
    <x v="1"/>
    <s v="Paid"/>
    <d v="2025-02-19T00:00:00"/>
  </r>
  <r>
    <s v="176-10000459"/>
    <x v="0"/>
    <n v="178"/>
    <x v="0"/>
    <s v="Pending"/>
    <d v="2025-02-25T00:00:00"/>
  </r>
  <r>
    <s v="176-10000104"/>
    <x v="4"/>
    <n v="220"/>
    <x v="0"/>
    <s v="Paid"/>
    <d v="2025-01-22T00:00:00"/>
  </r>
  <r>
    <s v="176-10000180"/>
    <x v="0"/>
    <n v="64"/>
    <x v="1"/>
    <s v="Pending"/>
    <d v="2025-04-30T00:00:00"/>
  </r>
  <r>
    <s v="176-10000043"/>
    <x v="0"/>
    <n v="469"/>
    <x v="2"/>
    <s v="Pending"/>
    <d v="2025-02-18T00:00:00"/>
  </r>
  <r>
    <s v="176-10000281"/>
    <x v="0"/>
    <n v="283"/>
    <x v="3"/>
    <s v="Pending"/>
    <d v="2025-04-29T00:00:00"/>
  </r>
  <r>
    <s v="176-10000174"/>
    <x v="3"/>
    <n v="90"/>
    <x v="0"/>
    <s v="Pending"/>
    <d v="2025-01-03T00:00:00"/>
  </r>
  <r>
    <s v="176-10000161"/>
    <x v="3"/>
    <n v="383"/>
    <x v="2"/>
    <s v="Pending"/>
    <d v="2025-04-22T00:00:00"/>
  </r>
  <r>
    <s v="176-10000470"/>
    <x v="4"/>
    <n v="390"/>
    <x v="3"/>
    <s v="Paid"/>
    <d v="2025-03-23T00:00:00"/>
  </r>
  <r>
    <s v="176-10000350"/>
    <x v="0"/>
    <n v="122"/>
    <x v="0"/>
    <s v="Paid"/>
    <d v="2025-03-12T00:00:00"/>
  </r>
  <r>
    <s v="176-10000433"/>
    <x v="1"/>
    <n v="144"/>
    <x v="0"/>
    <s v="Pending"/>
    <d v="2025-01-03T00:00:00"/>
  </r>
  <r>
    <s v="176-10000339"/>
    <x v="4"/>
    <n v="332"/>
    <x v="1"/>
    <s v="Paid"/>
    <d v="2025-02-10T00:00:00"/>
  </r>
  <r>
    <s v="176-10000139"/>
    <x v="0"/>
    <n v="483"/>
    <x v="3"/>
    <s v="Pending"/>
    <d v="2025-01-11T00:00:00"/>
  </r>
  <r>
    <s v="176-10000470"/>
    <x v="0"/>
    <n v="305"/>
    <x v="2"/>
    <s v="Paid"/>
    <d v="2025-02-16T00:00:00"/>
  </r>
  <r>
    <s v="176-10000131"/>
    <x v="3"/>
    <n v="477"/>
    <x v="2"/>
    <s v="Pending"/>
    <d v="2025-03-10T00:00:00"/>
  </r>
  <r>
    <s v="176-10000086"/>
    <x v="4"/>
    <n v="249"/>
    <x v="2"/>
    <s v="Pending"/>
    <d v="2025-01-29T00:00:00"/>
  </r>
  <r>
    <s v="176-10000175"/>
    <x v="0"/>
    <n v="165"/>
    <x v="3"/>
    <s v="Pending"/>
    <d v="2025-02-10T00:00:00"/>
  </r>
  <r>
    <s v="176-10000182"/>
    <x v="0"/>
    <n v="389"/>
    <x v="2"/>
    <s v="Paid"/>
    <d v="2025-04-04T00:00:00"/>
  </r>
  <r>
    <s v="176-10000367"/>
    <x v="4"/>
    <n v="216"/>
    <x v="2"/>
    <s v="Paid"/>
    <d v="2025-01-28T00:00:00"/>
  </r>
  <r>
    <s v="176-10000128"/>
    <x v="1"/>
    <n v="392"/>
    <x v="2"/>
    <s v="Pending"/>
    <d v="2025-01-25T00:00:00"/>
  </r>
  <r>
    <s v="176-10000245"/>
    <x v="4"/>
    <n v="240"/>
    <x v="1"/>
    <s v="Pending"/>
    <d v="2025-04-23T00:00:00"/>
  </r>
  <r>
    <s v="176-10000088"/>
    <x v="4"/>
    <n v="442"/>
    <x v="1"/>
    <s v="Paid"/>
    <d v="2025-04-17T00:00:00"/>
  </r>
  <r>
    <s v="176-10000065"/>
    <x v="1"/>
    <n v="79"/>
    <x v="3"/>
    <s v="Paid"/>
    <d v="2025-04-03T00:00:00"/>
  </r>
  <r>
    <s v="176-10000157"/>
    <x v="4"/>
    <n v="117"/>
    <x v="3"/>
    <s v="Paid"/>
    <d v="2025-03-28T00:00:00"/>
  </r>
  <r>
    <s v="176-10000386"/>
    <x v="0"/>
    <n v="190"/>
    <x v="2"/>
    <s v="Paid"/>
    <d v="2025-02-27T00:00:00"/>
  </r>
  <r>
    <s v="176-10000377"/>
    <x v="4"/>
    <n v="401"/>
    <x v="1"/>
    <s v="Paid"/>
    <d v="2025-04-02T00:00:00"/>
  </r>
  <r>
    <s v="176-10000148"/>
    <x v="1"/>
    <n v="192"/>
    <x v="0"/>
    <s v="Pending"/>
    <d v="2025-03-13T00:00:00"/>
  </r>
  <r>
    <s v="176-10000472"/>
    <x v="2"/>
    <n v="170"/>
    <x v="0"/>
    <s v="Paid"/>
    <d v="2025-03-31T00:00:00"/>
  </r>
  <r>
    <s v="176-10000339"/>
    <x v="4"/>
    <n v="472"/>
    <x v="2"/>
    <s v="Pending"/>
    <d v="2025-01-16T00:00:00"/>
  </r>
  <r>
    <s v="176-10000432"/>
    <x v="3"/>
    <n v="369"/>
    <x v="2"/>
    <s v="Pending"/>
    <d v="2025-01-03T00:00:00"/>
  </r>
  <r>
    <s v="176-10000115"/>
    <x v="0"/>
    <n v="409"/>
    <x v="1"/>
    <s v="Paid"/>
    <d v="2025-02-04T00:00:00"/>
  </r>
  <r>
    <s v="176-10000213"/>
    <x v="0"/>
    <n v="459"/>
    <x v="1"/>
    <s v="Paid"/>
    <d v="2025-02-09T00:00:00"/>
  </r>
  <r>
    <s v="176-10000468"/>
    <x v="3"/>
    <n v="141"/>
    <x v="1"/>
    <s v="Pending"/>
    <d v="2025-04-12T00:00:00"/>
  </r>
  <r>
    <s v="176-10000445"/>
    <x v="3"/>
    <n v="127"/>
    <x v="3"/>
    <s v="Paid"/>
    <d v="2025-03-07T00:00:00"/>
  </r>
  <r>
    <s v="176-10000480"/>
    <x v="4"/>
    <n v="23"/>
    <x v="3"/>
    <s v="Pending"/>
    <d v="2025-04-05T00:00:00"/>
  </r>
  <r>
    <s v="176-10000371"/>
    <x v="3"/>
    <n v="112"/>
    <x v="2"/>
    <s v="Paid"/>
    <d v="2025-04-16T00:00:00"/>
  </r>
  <r>
    <s v="176-10000293"/>
    <x v="2"/>
    <n v="426"/>
    <x v="3"/>
    <s v="Paid"/>
    <d v="2025-04-03T00:00:00"/>
  </r>
  <r>
    <s v="176-10000252"/>
    <x v="1"/>
    <n v="25"/>
    <x v="1"/>
    <s v="Paid"/>
    <d v="2025-04-06T00:00:00"/>
  </r>
  <r>
    <s v="176-10000142"/>
    <x v="3"/>
    <n v="307"/>
    <x v="1"/>
    <s v="Pending"/>
    <d v="2025-02-21T00:00:00"/>
  </r>
  <r>
    <s v="176-10000249"/>
    <x v="3"/>
    <n v="125"/>
    <x v="3"/>
    <s v="Paid"/>
    <d v="2025-02-09T00:00:00"/>
  </r>
  <r>
    <s v="176-10000365"/>
    <x v="2"/>
    <n v="165"/>
    <x v="0"/>
    <s v="Pending"/>
    <d v="2025-02-17T00:00:00"/>
  </r>
  <r>
    <s v="176-10000435"/>
    <x v="0"/>
    <n v="290"/>
    <x v="2"/>
    <s v="Paid"/>
    <d v="2025-02-15T00:00:00"/>
  </r>
  <r>
    <s v="176-10000462"/>
    <x v="0"/>
    <n v="443"/>
    <x v="0"/>
    <s v="Pending"/>
    <d v="2025-01-23T00:00:00"/>
  </r>
  <r>
    <s v="176-10000301"/>
    <x v="4"/>
    <n v="397"/>
    <x v="2"/>
    <s v="Paid"/>
    <d v="2025-02-10T00:00:00"/>
  </r>
  <r>
    <s v="176-10000024"/>
    <x v="2"/>
    <n v="115"/>
    <x v="0"/>
    <s v="Pending"/>
    <d v="2025-02-05T00:00:00"/>
  </r>
  <r>
    <s v="176-10000276"/>
    <x v="1"/>
    <n v="476"/>
    <x v="3"/>
    <s v="Pending"/>
    <d v="2025-03-22T00:00:00"/>
  </r>
  <r>
    <s v="176-10000471"/>
    <x v="1"/>
    <n v="248"/>
    <x v="2"/>
    <s v="Pending"/>
    <d v="2025-03-09T00:00:00"/>
  </r>
  <r>
    <s v="176-10000376"/>
    <x v="2"/>
    <n v="221"/>
    <x v="2"/>
    <s v="Pending"/>
    <d v="2025-03-24T00:00:00"/>
  </r>
  <r>
    <s v="176-10000377"/>
    <x v="1"/>
    <n v="231"/>
    <x v="2"/>
    <s v="Pending"/>
    <d v="2025-04-29T00:00:00"/>
  </r>
  <r>
    <s v="176-10000388"/>
    <x v="0"/>
    <n v="25"/>
    <x v="1"/>
    <s v="Pending"/>
    <d v="2025-03-21T00:00:00"/>
  </r>
  <r>
    <s v="176-10000069"/>
    <x v="1"/>
    <n v="131"/>
    <x v="1"/>
    <s v="Paid"/>
    <d v="2025-04-29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RCPT00000"/>
    <s v="176-10000000"/>
    <n v="1415"/>
    <d v="2025-05-01T00:00:00"/>
    <x v="0"/>
  </r>
  <r>
    <s v="RCPT00001"/>
    <s v="176-10000001"/>
    <n v="1453"/>
    <d v="2025-01-23T00:00:00"/>
    <x v="1"/>
  </r>
  <r>
    <s v="RCPT00002"/>
    <s v="176-10000002"/>
    <n v="1994"/>
    <d v="2025-03-09T00:00:00"/>
    <x v="0"/>
  </r>
  <r>
    <s v="RCPT00003"/>
    <s v="176-10000003"/>
    <n v="1918"/>
    <d v="2025-03-28T00:00:00"/>
    <x v="0"/>
  </r>
  <r>
    <s v="RCPT00004"/>
    <s v="176-10000004"/>
    <n v="1612"/>
    <d v="2025-03-14T00:00:00"/>
    <x v="0"/>
  </r>
  <r>
    <s v="RCPT00005"/>
    <s v="176-10000005"/>
    <n v="1631"/>
    <d v="2025-02-10T00:00:00"/>
    <x v="1"/>
  </r>
  <r>
    <s v="RCPT00006"/>
    <s v="176-10000006"/>
    <n v="740"/>
    <d v="2025-03-21T00:00:00"/>
    <x v="1"/>
  </r>
  <r>
    <s v="RCPT00007"/>
    <s v="176-10000007"/>
    <n v="1127"/>
    <d v="2025-04-25T00:00:00"/>
    <x v="2"/>
  </r>
  <r>
    <s v="RCPT00008"/>
    <s v="176-10000008"/>
    <n v="413"/>
    <d v="2025-04-02T00:00:00"/>
    <x v="3"/>
  </r>
  <r>
    <s v="RCPT00009"/>
    <s v="176-10000009"/>
    <n v="1368"/>
    <d v="2025-04-26T00:00:00"/>
    <x v="3"/>
  </r>
  <r>
    <s v="RCPT00010"/>
    <s v="176-10000010"/>
    <n v="1034"/>
    <d v="2025-02-28T00:00:00"/>
    <x v="2"/>
  </r>
  <r>
    <s v="RCPT00011"/>
    <s v="176-10000011"/>
    <n v="828"/>
    <d v="2025-02-06T00:00:00"/>
    <x v="2"/>
  </r>
  <r>
    <s v="RCPT00012"/>
    <s v="176-10000012"/>
    <n v="696"/>
    <d v="2025-04-26T00:00:00"/>
    <x v="0"/>
  </r>
  <r>
    <s v="RCPT00013"/>
    <s v="176-10000013"/>
    <n v="2309"/>
    <d v="2025-04-26T00:00:00"/>
    <x v="2"/>
  </r>
  <r>
    <s v="RCPT00014"/>
    <s v="176-10000014"/>
    <n v="1882"/>
    <d v="2025-04-16T00:00:00"/>
    <x v="4"/>
  </r>
  <r>
    <s v="RCPT00015"/>
    <s v="176-10000015"/>
    <n v="2358"/>
    <d v="2025-03-19T00:00:00"/>
    <x v="3"/>
  </r>
  <r>
    <s v="RCPT00016"/>
    <s v="176-10000016"/>
    <n v="287"/>
    <d v="2025-04-03T00:00:00"/>
    <x v="2"/>
  </r>
  <r>
    <s v="RCPT00017"/>
    <s v="176-10000017"/>
    <n v="1341"/>
    <d v="2025-01-18T00:00:00"/>
    <x v="4"/>
  </r>
  <r>
    <s v="RCPT00018"/>
    <s v="176-10000018"/>
    <n v="1071"/>
    <d v="2025-04-02T00:00:00"/>
    <x v="4"/>
  </r>
  <r>
    <s v="RCPT00019"/>
    <s v="176-10000019"/>
    <n v="1110"/>
    <d v="2025-04-26T00:00:00"/>
    <x v="4"/>
  </r>
  <r>
    <s v="RCPT00020"/>
    <s v="176-10000020"/>
    <n v="2018"/>
    <d v="2025-01-04T00:00:00"/>
    <x v="4"/>
  </r>
  <r>
    <s v="RCPT00021"/>
    <s v="176-10000021"/>
    <n v="1501"/>
    <d v="2025-04-10T00:00:00"/>
    <x v="0"/>
  </r>
  <r>
    <s v="RCPT00022"/>
    <s v="176-10000022"/>
    <n v="1523"/>
    <d v="2025-02-21T00:00:00"/>
    <x v="4"/>
  </r>
  <r>
    <s v="RCPT00023"/>
    <s v="176-10000023"/>
    <n v="2260"/>
    <d v="2025-04-13T00:00:00"/>
    <x v="0"/>
  </r>
  <r>
    <s v="RCPT00024"/>
    <s v="176-10000024"/>
    <n v="2085"/>
    <d v="2025-01-17T00:00:00"/>
    <x v="0"/>
  </r>
  <r>
    <s v="RCPT00025"/>
    <s v="176-10000025"/>
    <n v="1728"/>
    <d v="2025-03-21T00:00:00"/>
    <x v="4"/>
  </r>
  <r>
    <s v="RCPT00026"/>
    <s v="176-10000026"/>
    <n v="831"/>
    <d v="2025-02-10T00:00:00"/>
    <x v="3"/>
  </r>
  <r>
    <s v="RCPT00027"/>
    <s v="176-10000027"/>
    <n v="1021"/>
    <d v="2025-03-20T00:00:00"/>
    <x v="4"/>
  </r>
  <r>
    <s v="RCPT00028"/>
    <s v="176-10000028"/>
    <n v="1331"/>
    <d v="2025-01-30T00:00:00"/>
    <x v="4"/>
  </r>
  <r>
    <s v="RCPT00029"/>
    <s v="176-10000029"/>
    <n v="348"/>
    <d v="2025-04-13T00:00:00"/>
    <x v="4"/>
  </r>
  <r>
    <s v="RCPT00030"/>
    <s v="176-10000030"/>
    <n v="1463"/>
    <d v="2025-03-30T00:00:00"/>
    <x v="3"/>
  </r>
  <r>
    <s v="RCPT00031"/>
    <s v="176-10000031"/>
    <n v="683"/>
    <d v="2025-01-21T00:00:00"/>
    <x v="1"/>
  </r>
  <r>
    <s v="RCPT00032"/>
    <s v="176-10000032"/>
    <n v="516"/>
    <d v="2025-02-18T00:00:00"/>
    <x v="1"/>
  </r>
  <r>
    <s v="RCPT00033"/>
    <s v="176-10000033"/>
    <n v="690"/>
    <d v="2025-04-15T00:00:00"/>
    <x v="0"/>
  </r>
  <r>
    <s v="RCPT00034"/>
    <s v="176-10000034"/>
    <n v="2231"/>
    <d v="2025-01-19T00:00:00"/>
    <x v="0"/>
  </r>
  <r>
    <s v="RCPT00035"/>
    <s v="176-10000035"/>
    <n v="1114"/>
    <d v="2025-03-22T00:00:00"/>
    <x v="3"/>
  </r>
  <r>
    <s v="RCPT00036"/>
    <s v="176-10000036"/>
    <n v="1620"/>
    <d v="2025-04-21T00:00:00"/>
    <x v="2"/>
  </r>
  <r>
    <s v="RCPT00037"/>
    <s v="176-10000037"/>
    <n v="1339"/>
    <d v="2025-01-29T00:00:00"/>
    <x v="1"/>
  </r>
  <r>
    <s v="RCPT00038"/>
    <s v="176-10000038"/>
    <n v="1492"/>
    <d v="2025-01-13T00:00:00"/>
    <x v="0"/>
  </r>
  <r>
    <s v="RCPT00039"/>
    <s v="176-10000039"/>
    <n v="513"/>
    <d v="2025-01-18T00:00:00"/>
    <x v="1"/>
  </r>
  <r>
    <s v="RCPT00040"/>
    <s v="176-10000040"/>
    <n v="1107"/>
    <d v="2025-02-26T00:00:00"/>
    <x v="3"/>
  </r>
  <r>
    <s v="RCPT00041"/>
    <s v="176-10000041"/>
    <n v="1632"/>
    <d v="2025-02-08T00:00:00"/>
    <x v="3"/>
  </r>
  <r>
    <s v="RCPT00042"/>
    <s v="176-10000042"/>
    <n v="2135"/>
    <d v="2025-04-13T00:00:00"/>
    <x v="2"/>
  </r>
  <r>
    <s v="RCPT00043"/>
    <s v="176-10000043"/>
    <n v="1596"/>
    <d v="2025-04-16T00:00:00"/>
    <x v="2"/>
  </r>
  <r>
    <s v="RCPT00044"/>
    <s v="176-10000044"/>
    <n v="1964"/>
    <d v="2025-01-22T00:00:00"/>
    <x v="3"/>
  </r>
  <r>
    <s v="RCPT00045"/>
    <s v="176-10000045"/>
    <n v="1342"/>
    <d v="2025-04-09T00:00:00"/>
    <x v="0"/>
  </r>
  <r>
    <s v="RCPT00046"/>
    <s v="176-10000046"/>
    <n v="1749"/>
    <d v="2025-03-09T00:00:00"/>
    <x v="1"/>
  </r>
  <r>
    <s v="RCPT00047"/>
    <s v="176-10000047"/>
    <n v="997"/>
    <d v="2025-01-08T00:00:00"/>
    <x v="4"/>
  </r>
  <r>
    <s v="RCPT00048"/>
    <s v="176-10000048"/>
    <n v="1473"/>
    <d v="2025-01-26T00:00:00"/>
    <x v="2"/>
  </r>
  <r>
    <s v="RCPT00049"/>
    <s v="176-10000049"/>
    <n v="1884"/>
    <d v="2025-01-28T00:00:00"/>
    <x v="4"/>
  </r>
  <r>
    <s v="RCPT00050"/>
    <s v="176-10000050"/>
    <n v="1898"/>
    <d v="2025-01-23T00:00:00"/>
    <x v="0"/>
  </r>
  <r>
    <s v="RCPT00051"/>
    <s v="176-10000051"/>
    <n v="1736"/>
    <d v="2025-03-06T00:00:00"/>
    <x v="2"/>
  </r>
  <r>
    <s v="RCPT00052"/>
    <s v="176-10000052"/>
    <n v="1266"/>
    <d v="2025-02-23T00:00:00"/>
    <x v="4"/>
  </r>
  <r>
    <s v="RCPT00053"/>
    <s v="176-10000053"/>
    <n v="1160"/>
    <d v="2025-04-29T00:00:00"/>
    <x v="0"/>
  </r>
  <r>
    <s v="RCPT00054"/>
    <s v="176-10000054"/>
    <n v="1677"/>
    <d v="2025-02-23T00:00:00"/>
    <x v="1"/>
  </r>
  <r>
    <s v="RCPT00055"/>
    <s v="176-10000055"/>
    <n v="603"/>
    <d v="2025-05-01T00:00:00"/>
    <x v="0"/>
  </r>
  <r>
    <s v="RCPT00056"/>
    <s v="176-10000056"/>
    <n v="1045"/>
    <d v="2025-02-25T00:00:00"/>
    <x v="2"/>
  </r>
  <r>
    <s v="RCPT00057"/>
    <s v="176-10000057"/>
    <n v="1817"/>
    <d v="2025-04-20T00:00:00"/>
    <x v="3"/>
  </r>
  <r>
    <s v="RCPT00058"/>
    <s v="176-10000058"/>
    <n v="540"/>
    <d v="2025-02-11T00:00:00"/>
    <x v="1"/>
  </r>
  <r>
    <s v="RCPT00059"/>
    <s v="176-10000059"/>
    <n v="1795"/>
    <d v="2025-02-09T00:00:00"/>
    <x v="4"/>
  </r>
  <r>
    <s v="RCPT00060"/>
    <s v="176-10000060"/>
    <n v="1769"/>
    <d v="2025-01-11T00:00:00"/>
    <x v="2"/>
  </r>
  <r>
    <s v="RCPT00061"/>
    <s v="176-10000061"/>
    <n v="1908"/>
    <d v="2025-04-16T00:00:00"/>
    <x v="3"/>
  </r>
  <r>
    <s v="RCPT00062"/>
    <s v="176-10000062"/>
    <n v="1147"/>
    <d v="2025-04-06T00:00:00"/>
    <x v="0"/>
  </r>
  <r>
    <s v="RCPT00063"/>
    <s v="176-10000063"/>
    <n v="1582"/>
    <d v="2025-04-14T00:00:00"/>
    <x v="3"/>
  </r>
  <r>
    <s v="RCPT00064"/>
    <s v="176-10000064"/>
    <n v="1235"/>
    <d v="2025-04-14T00:00:00"/>
    <x v="2"/>
  </r>
  <r>
    <s v="RCPT00065"/>
    <s v="176-10000065"/>
    <n v="1539"/>
    <d v="2025-04-30T00:00:00"/>
    <x v="2"/>
  </r>
  <r>
    <s v="RCPT00066"/>
    <s v="176-10000066"/>
    <n v="1419"/>
    <d v="2025-04-22T00:00:00"/>
    <x v="3"/>
  </r>
  <r>
    <s v="RCPT00067"/>
    <s v="176-10000067"/>
    <n v="295"/>
    <d v="2025-03-07T00:00:00"/>
    <x v="0"/>
  </r>
  <r>
    <s v="RCPT00068"/>
    <s v="176-10000068"/>
    <n v="851"/>
    <d v="2025-01-29T00:00:00"/>
    <x v="3"/>
  </r>
  <r>
    <s v="RCPT00069"/>
    <s v="176-10000069"/>
    <n v="1621"/>
    <d v="2025-01-26T00:00:00"/>
    <x v="2"/>
  </r>
  <r>
    <s v="RCPT00070"/>
    <s v="176-10000070"/>
    <n v="1572"/>
    <d v="2025-02-03T00:00:00"/>
    <x v="2"/>
  </r>
  <r>
    <s v="RCPT00071"/>
    <s v="176-10000071"/>
    <n v="2040"/>
    <d v="2025-01-19T00:00:00"/>
    <x v="4"/>
  </r>
  <r>
    <s v="RCPT00072"/>
    <s v="176-10000072"/>
    <n v="1113"/>
    <d v="2025-03-12T00:00:00"/>
    <x v="4"/>
  </r>
  <r>
    <s v="RCPT00073"/>
    <s v="176-10000073"/>
    <n v="939"/>
    <d v="2025-03-18T00:00:00"/>
    <x v="1"/>
  </r>
  <r>
    <s v="RCPT00074"/>
    <s v="176-10000074"/>
    <n v="429"/>
    <d v="2025-02-21T00:00:00"/>
    <x v="2"/>
  </r>
  <r>
    <s v="RCPT00075"/>
    <s v="176-10000075"/>
    <n v="1768"/>
    <d v="2025-02-11T00:00:00"/>
    <x v="4"/>
  </r>
  <r>
    <s v="RCPT00076"/>
    <s v="176-10000076"/>
    <n v="2122"/>
    <d v="2025-02-21T00:00:00"/>
    <x v="3"/>
  </r>
  <r>
    <s v="RCPT00077"/>
    <s v="176-10000077"/>
    <n v="1412"/>
    <d v="2025-05-01T00:00:00"/>
    <x v="0"/>
  </r>
  <r>
    <s v="RCPT00078"/>
    <s v="176-10000078"/>
    <n v="1304"/>
    <d v="2025-03-26T00:00:00"/>
    <x v="3"/>
  </r>
  <r>
    <s v="RCPT00079"/>
    <s v="176-10000079"/>
    <n v="1286"/>
    <d v="2025-03-09T00:00:00"/>
    <x v="0"/>
  </r>
  <r>
    <s v="RCPT00080"/>
    <s v="176-10000080"/>
    <n v="1009"/>
    <d v="2025-01-09T00:00:00"/>
    <x v="4"/>
  </r>
  <r>
    <s v="RCPT00081"/>
    <s v="176-10000081"/>
    <n v="1638"/>
    <d v="2025-03-26T00:00:00"/>
    <x v="1"/>
  </r>
  <r>
    <s v="RCPT00082"/>
    <s v="176-10000082"/>
    <n v="1530"/>
    <d v="2025-04-20T00:00:00"/>
    <x v="3"/>
  </r>
  <r>
    <s v="RCPT00083"/>
    <s v="176-10000083"/>
    <n v="1712"/>
    <d v="2025-03-06T00:00:00"/>
    <x v="3"/>
  </r>
  <r>
    <s v="RCPT00084"/>
    <s v="176-10000084"/>
    <n v="461"/>
    <d v="2025-02-18T00:00:00"/>
    <x v="3"/>
  </r>
  <r>
    <s v="RCPT00085"/>
    <s v="176-10000085"/>
    <n v="755"/>
    <d v="2025-03-23T00:00:00"/>
    <x v="0"/>
  </r>
  <r>
    <s v="RCPT00086"/>
    <s v="176-10000086"/>
    <n v="748"/>
    <d v="2025-04-05T00:00:00"/>
    <x v="4"/>
  </r>
  <r>
    <s v="RCPT00087"/>
    <s v="176-10000087"/>
    <n v="471"/>
    <d v="2025-02-12T00:00:00"/>
    <x v="3"/>
  </r>
  <r>
    <s v="RCPT00088"/>
    <s v="176-10000088"/>
    <n v="1194"/>
    <d v="2025-02-06T00:00:00"/>
    <x v="3"/>
  </r>
  <r>
    <s v="RCPT00089"/>
    <s v="176-10000089"/>
    <n v="1900"/>
    <d v="2025-03-10T00:00:00"/>
    <x v="1"/>
  </r>
  <r>
    <s v="RCPT00090"/>
    <s v="176-10000090"/>
    <n v="1937"/>
    <d v="2025-01-30T00:00:00"/>
    <x v="1"/>
  </r>
  <r>
    <s v="RCPT00091"/>
    <s v="176-10000091"/>
    <n v="1391"/>
    <d v="2025-03-22T00:00:00"/>
    <x v="4"/>
  </r>
  <r>
    <s v="RCPT00092"/>
    <s v="176-10000092"/>
    <n v="520"/>
    <d v="2025-03-23T00:00:00"/>
    <x v="4"/>
  </r>
  <r>
    <s v="RCPT00093"/>
    <s v="176-10000093"/>
    <n v="2298"/>
    <d v="2025-01-26T00:00:00"/>
    <x v="2"/>
  </r>
  <r>
    <s v="RCPT00094"/>
    <s v="176-10000094"/>
    <n v="1841"/>
    <d v="2025-03-09T00:00:00"/>
    <x v="1"/>
  </r>
  <r>
    <s v="RCPT00095"/>
    <s v="176-10000095"/>
    <n v="1729"/>
    <d v="2025-02-10T00:00:00"/>
    <x v="2"/>
  </r>
  <r>
    <s v="RCPT00096"/>
    <s v="176-10000096"/>
    <n v="440"/>
    <d v="2025-04-30T00:00:00"/>
    <x v="0"/>
  </r>
  <r>
    <s v="RCPT00097"/>
    <s v="176-10000097"/>
    <n v="1695"/>
    <d v="2025-02-22T00:00:00"/>
    <x v="2"/>
  </r>
  <r>
    <s v="RCPT00098"/>
    <s v="176-10000098"/>
    <n v="643"/>
    <d v="2025-04-15T00:00:00"/>
    <x v="3"/>
  </r>
  <r>
    <s v="RCPT00099"/>
    <s v="176-10000099"/>
    <n v="1656"/>
    <d v="2025-02-15T00:00:00"/>
    <x v="2"/>
  </r>
  <r>
    <s v="RCPT00100"/>
    <s v="176-10000100"/>
    <n v="465"/>
    <d v="2025-04-26T00:00:00"/>
    <x v="4"/>
  </r>
  <r>
    <s v="RCPT00101"/>
    <s v="176-10000101"/>
    <n v="552"/>
    <d v="2025-04-20T00:00:00"/>
    <x v="0"/>
  </r>
  <r>
    <s v="RCPT00102"/>
    <s v="176-10000102"/>
    <n v="868"/>
    <d v="2025-01-11T00:00:00"/>
    <x v="3"/>
  </r>
  <r>
    <s v="RCPT00103"/>
    <s v="176-10000103"/>
    <n v="1976"/>
    <d v="2025-01-17T00:00:00"/>
    <x v="2"/>
  </r>
  <r>
    <s v="RCPT00104"/>
    <s v="176-10000104"/>
    <n v="1292"/>
    <d v="2025-02-23T00:00:00"/>
    <x v="0"/>
  </r>
  <r>
    <s v="RCPT00105"/>
    <s v="176-10000105"/>
    <n v="2088"/>
    <d v="2025-04-21T00:00:00"/>
    <x v="0"/>
  </r>
  <r>
    <s v="RCPT00106"/>
    <s v="176-10000106"/>
    <n v="1275"/>
    <d v="2025-02-10T00:00:00"/>
    <x v="3"/>
  </r>
  <r>
    <s v="RCPT00107"/>
    <s v="176-10000107"/>
    <n v="665"/>
    <d v="2025-01-07T00:00:00"/>
    <x v="2"/>
  </r>
  <r>
    <s v="RCPT00108"/>
    <s v="176-10000108"/>
    <n v="972"/>
    <d v="2025-03-18T00:00:00"/>
    <x v="0"/>
  </r>
  <r>
    <s v="RCPT00109"/>
    <s v="176-10000109"/>
    <n v="1663"/>
    <d v="2025-01-13T00:00:00"/>
    <x v="0"/>
  </r>
  <r>
    <s v="RCPT00110"/>
    <s v="176-10000110"/>
    <n v="2056"/>
    <d v="2025-05-01T00:00:00"/>
    <x v="1"/>
  </r>
  <r>
    <s v="RCPT00111"/>
    <s v="176-10000111"/>
    <n v="1409"/>
    <d v="2025-03-06T00:00:00"/>
    <x v="0"/>
  </r>
  <r>
    <s v="RCPT00112"/>
    <s v="176-10000112"/>
    <n v="670"/>
    <d v="2025-01-25T00:00:00"/>
    <x v="1"/>
  </r>
  <r>
    <s v="RCPT00113"/>
    <s v="176-10000113"/>
    <n v="688"/>
    <d v="2025-01-16T00:00:00"/>
    <x v="2"/>
  </r>
  <r>
    <s v="RCPT00114"/>
    <s v="176-10000114"/>
    <n v="2103"/>
    <d v="2025-01-10T00:00:00"/>
    <x v="2"/>
  </r>
  <r>
    <s v="RCPT00115"/>
    <s v="176-10000115"/>
    <n v="701"/>
    <d v="2025-02-25T00:00:00"/>
    <x v="2"/>
  </r>
  <r>
    <s v="RCPT00116"/>
    <s v="176-10000116"/>
    <n v="1220"/>
    <d v="2025-01-14T00:00:00"/>
    <x v="4"/>
  </r>
  <r>
    <s v="RCPT00117"/>
    <s v="176-10000117"/>
    <n v="565"/>
    <d v="2025-01-03T00:00:00"/>
    <x v="2"/>
  </r>
  <r>
    <s v="RCPT00118"/>
    <s v="176-10000118"/>
    <n v="644"/>
    <d v="2025-02-20T00:00:00"/>
    <x v="0"/>
  </r>
  <r>
    <s v="RCPT00119"/>
    <s v="176-10000119"/>
    <n v="2269"/>
    <d v="2025-04-26T00:00:00"/>
    <x v="3"/>
  </r>
  <r>
    <s v="RCPT00120"/>
    <s v="176-10000120"/>
    <n v="739"/>
    <d v="2025-02-05T00:00:00"/>
    <x v="1"/>
  </r>
  <r>
    <s v="RCPT00121"/>
    <s v="176-10000121"/>
    <n v="1168"/>
    <d v="2025-03-06T00:00:00"/>
    <x v="4"/>
  </r>
  <r>
    <s v="RCPT00122"/>
    <s v="176-10000122"/>
    <n v="1244"/>
    <d v="2025-01-27T00:00:00"/>
    <x v="2"/>
  </r>
  <r>
    <s v="RCPT00123"/>
    <s v="176-10000123"/>
    <n v="1409"/>
    <d v="2025-01-05T00:00:00"/>
    <x v="2"/>
  </r>
  <r>
    <s v="RCPT00124"/>
    <s v="176-10000124"/>
    <n v="805"/>
    <d v="2025-03-06T00:00:00"/>
    <x v="3"/>
  </r>
  <r>
    <s v="RCPT00125"/>
    <s v="176-10000125"/>
    <n v="921"/>
    <d v="2025-04-09T00:00:00"/>
    <x v="3"/>
  </r>
  <r>
    <s v="RCPT00126"/>
    <s v="176-10000126"/>
    <n v="1697"/>
    <d v="2025-02-14T00:00:00"/>
    <x v="4"/>
  </r>
  <r>
    <s v="RCPT00127"/>
    <s v="176-10000127"/>
    <n v="953"/>
    <d v="2025-01-12T00:00:00"/>
    <x v="1"/>
  </r>
  <r>
    <s v="RCPT00128"/>
    <s v="176-10000128"/>
    <n v="794"/>
    <d v="2025-01-03T00:00:00"/>
    <x v="2"/>
  </r>
  <r>
    <s v="RCPT00129"/>
    <s v="176-10000129"/>
    <n v="1834"/>
    <d v="2025-01-09T00:00:00"/>
    <x v="4"/>
  </r>
  <r>
    <s v="RCPT00130"/>
    <s v="176-10000130"/>
    <n v="1958"/>
    <d v="2025-01-20T00:00:00"/>
    <x v="0"/>
  </r>
  <r>
    <s v="RCPT00131"/>
    <s v="176-10000131"/>
    <n v="1854"/>
    <d v="2025-01-04T00:00:00"/>
    <x v="0"/>
  </r>
  <r>
    <s v="RCPT00132"/>
    <s v="176-10000132"/>
    <n v="439"/>
    <d v="2025-02-26T00:00:00"/>
    <x v="4"/>
  </r>
  <r>
    <s v="RCPT00133"/>
    <s v="176-10000133"/>
    <n v="708"/>
    <d v="2025-01-13T00:00:00"/>
    <x v="2"/>
  </r>
  <r>
    <s v="RCPT00134"/>
    <s v="176-10000134"/>
    <n v="1581"/>
    <d v="2025-02-02T00:00:00"/>
    <x v="4"/>
  </r>
  <r>
    <s v="RCPT00135"/>
    <s v="176-10000135"/>
    <n v="2135"/>
    <d v="2025-01-01T00:00:00"/>
    <x v="2"/>
  </r>
  <r>
    <s v="RCPT00136"/>
    <s v="176-10000136"/>
    <n v="1054"/>
    <d v="2025-03-25T00:00:00"/>
    <x v="3"/>
  </r>
  <r>
    <s v="RCPT00137"/>
    <s v="176-10000137"/>
    <n v="1799"/>
    <d v="2025-02-08T00:00:00"/>
    <x v="4"/>
  </r>
  <r>
    <s v="RCPT00138"/>
    <s v="176-10000138"/>
    <n v="722"/>
    <d v="2025-02-02T00:00:00"/>
    <x v="2"/>
  </r>
  <r>
    <s v="RCPT00139"/>
    <s v="176-10000139"/>
    <n v="1529"/>
    <d v="2025-02-03T00:00:00"/>
    <x v="4"/>
  </r>
  <r>
    <s v="RCPT00140"/>
    <s v="176-10000140"/>
    <n v="1901"/>
    <d v="2025-03-05T00:00:00"/>
    <x v="4"/>
  </r>
  <r>
    <s v="RCPT00141"/>
    <s v="176-10000141"/>
    <n v="1577"/>
    <d v="2025-03-25T00:00:00"/>
    <x v="2"/>
  </r>
  <r>
    <s v="RCPT00142"/>
    <s v="176-10000142"/>
    <n v="2006"/>
    <d v="2025-01-27T00:00:00"/>
    <x v="2"/>
  </r>
  <r>
    <s v="RCPT00143"/>
    <s v="176-10000143"/>
    <n v="1429"/>
    <d v="2025-03-12T00:00:00"/>
    <x v="1"/>
  </r>
  <r>
    <s v="RCPT00144"/>
    <s v="176-10000144"/>
    <n v="1601"/>
    <d v="2025-01-29T00:00:00"/>
    <x v="4"/>
  </r>
  <r>
    <s v="RCPT00145"/>
    <s v="176-10000145"/>
    <n v="315"/>
    <d v="2025-02-23T00:00:00"/>
    <x v="0"/>
  </r>
  <r>
    <s v="RCPT00146"/>
    <s v="176-10000146"/>
    <n v="568"/>
    <d v="2025-02-16T00:00:00"/>
    <x v="4"/>
  </r>
  <r>
    <s v="RCPT00147"/>
    <s v="176-10000147"/>
    <n v="1522"/>
    <d v="2025-03-10T00:00:00"/>
    <x v="4"/>
  </r>
  <r>
    <s v="RCPT00148"/>
    <s v="176-10000148"/>
    <n v="1332"/>
    <d v="2025-02-10T00:00:00"/>
    <x v="2"/>
  </r>
  <r>
    <s v="RCPT00149"/>
    <s v="176-10000149"/>
    <n v="1241"/>
    <d v="2025-03-17T00:00:00"/>
    <x v="4"/>
  </r>
  <r>
    <s v="RCPT00150"/>
    <s v="176-10000150"/>
    <n v="976"/>
    <d v="2025-02-24T00:00:00"/>
    <x v="4"/>
  </r>
  <r>
    <s v="RCPT00151"/>
    <s v="176-10000151"/>
    <n v="1193"/>
    <d v="2025-02-03T00:00:00"/>
    <x v="0"/>
  </r>
  <r>
    <s v="RCPT00152"/>
    <s v="176-10000152"/>
    <n v="890"/>
    <d v="2025-01-01T00:00:00"/>
    <x v="2"/>
  </r>
  <r>
    <s v="RCPT00153"/>
    <s v="176-10000153"/>
    <n v="1185"/>
    <d v="2025-03-27T00:00:00"/>
    <x v="4"/>
  </r>
  <r>
    <s v="RCPT00154"/>
    <s v="176-10000154"/>
    <n v="1276"/>
    <d v="2025-01-20T00:00:00"/>
    <x v="3"/>
  </r>
  <r>
    <s v="RCPT00155"/>
    <s v="176-10000155"/>
    <n v="1762"/>
    <d v="2025-01-14T00:00:00"/>
    <x v="1"/>
  </r>
  <r>
    <s v="RCPT00156"/>
    <s v="176-10000156"/>
    <n v="824"/>
    <d v="2025-02-03T00:00:00"/>
    <x v="0"/>
  </r>
  <r>
    <s v="RCPT00157"/>
    <s v="176-10000157"/>
    <n v="664"/>
    <d v="2025-03-09T00:00:00"/>
    <x v="4"/>
  </r>
  <r>
    <s v="RCPT00158"/>
    <s v="176-10000158"/>
    <n v="1739"/>
    <d v="2025-01-26T00:00:00"/>
    <x v="3"/>
  </r>
  <r>
    <s v="RCPT00159"/>
    <s v="176-10000159"/>
    <n v="976"/>
    <d v="2025-01-24T00:00:00"/>
    <x v="4"/>
  </r>
  <r>
    <s v="RCPT00160"/>
    <s v="176-10000160"/>
    <n v="1580"/>
    <d v="2025-04-27T00:00:00"/>
    <x v="4"/>
  </r>
  <r>
    <s v="RCPT00161"/>
    <s v="176-10000161"/>
    <n v="1757"/>
    <d v="2025-03-01T00:00:00"/>
    <x v="2"/>
  </r>
  <r>
    <s v="RCPT00162"/>
    <s v="176-10000162"/>
    <n v="1283"/>
    <d v="2025-04-17T00:00:00"/>
    <x v="2"/>
  </r>
  <r>
    <s v="RCPT00163"/>
    <s v="176-10000163"/>
    <n v="1936"/>
    <d v="2025-02-17T00:00:00"/>
    <x v="2"/>
  </r>
  <r>
    <s v="RCPT00164"/>
    <s v="176-10000164"/>
    <n v="989"/>
    <d v="2025-03-18T00:00:00"/>
    <x v="3"/>
  </r>
  <r>
    <s v="RCPT00165"/>
    <s v="176-10000165"/>
    <n v="811"/>
    <d v="2025-02-16T00:00:00"/>
    <x v="4"/>
  </r>
  <r>
    <s v="RCPT00166"/>
    <s v="176-10000166"/>
    <n v="1558"/>
    <d v="2025-03-14T00:00:00"/>
    <x v="1"/>
  </r>
  <r>
    <s v="RCPT00167"/>
    <s v="176-10000167"/>
    <n v="493"/>
    <d v="2025-02-19T00:00:00"/>
    <x v="0"/>
  </r>
  <r>
    <s v="RCPT00168"/>
    <s v="176-10000168"/>
    <n v="1287"/>
    <d v="2025-02-13T00:00:00"/>
    <x v="2"/>
  </r>
  <r>
    <s v="RCPT00169"/>
    <s v="176-10000169"/>
    <n v="790"/>
    <d v="2025-03-25T00:00:00"/>
    <x v="2"/>
  </r>
  <r>
    <s v="RCPT00170"/>
    <s v="176-10000170"/>
    <n v="1689"/>
    <d v="2025-04-17T00:00:00"/>
    <x v="4"/>
  </r>
  <r>
    <s v="RCPT00171"/>
    <s v="176-10000171"/>
    <n v="1108"/>
    <d v="2025-04-26T00:00:00"/>
    <x v="4"/>
  </r>
  <r>
    <s v="RCPT00172"/>
    <s v="176-10000172"/>
    <n v="763"/>
    <d v="2025-01-10T00:00:00"/>
    <x v="3"/>
  </r>
  <r>
    <s v="RCPT00173"/>
    <s v="176-10000173"/>
    <n v="1731"/>
    <d v="2025-02-10T00:00:00"/>
    <x v="3"/>
  </r>
  <r>
    <s v="RCPT00174"/>
    <s v="176-10000174"/>
    <n v="1886"/>
    <d v="2025-03-03T00:00:00"/>
    <x v="2"/>
  </r>
  <r>
    <s v="RCPT00175"/>
    <s v="176-10000175"/>
    <n v="1217"/>
    <d v="2025-03-02T00:00:00"/>
    <x v="4"/>
  </r>
  <r>
    <s v="RCPT00176"/>
    <s v="176-10000176"/>
    <n v="514"/>
    <d v="2025-04-06T00:00:00"/>
    <x v="1"/>
  </r>
  <r>
    <s v="RCPT00177"/>
    <s v="176-10000177"/>
    <n v="1453"/>
    <d v="2025-03-25T00:00:00"/>
    <x v="0"/>
  </r>
  <r>
    <s v="RCPT00178"/>
    <s v="176-10000178"/>
    <n v="860"/>
    <d v="2025-01-01T00:00:00"/>
    <x v="4"/>
  </r>
  <r>
    <s v="RCPT00179"/>
    <s v="176-10000179"/>
    <n v="1281"/>
    <d v="2025-02-04T00:00:00"/>
    <x v="4"/>
  </r>
  <r>
    <s v="RCPT00180"/>
    <s v="176-10000180"/>
    <n v="609"/>
    <d v="2025-01-17T00:00:00"/>
    <x v="3"/>
  </r>
  <r>
    <s v="RCPT00181"/>
    <s v="176-10000181"/>
    <n v="1218"/>
    <d v="2025-01-17T00:00:00"/>
    <x v="0"/>
  </r>
  <r>
    <s v="RCPT00182"/>
    <s v="176-10000182"/>
    <n v="1191"/>
    <d v="2025-01-10T00:00:00"/>
    <x v="2"/>
  </r>
  <r>
    <s v="RCPT00183"/>
    <s v="176-10000183"/>
    <n v="494"/>
    <d v="2025-01-14T00:00:00"/>
    <x v="4"/>
  </r>
  <r>
    <s v="RCPT00184"/>
    <s v="176-10000184"/>
    <n v="981"/>
    <d v="2025-04-12T00:00:00"/>
    <x v="2"/>
  </r>
  <r>
    <s v="RCPT00185"/>
    <s v="176-10000185"/>
    <n v="1588"/>
    <d v="2025-01-01T00:00:00"/>
    <x v="4"/>
  </r>
  <r>
    <s v="RCPT00186"/>
    <s v="176-10000186"/>
    <n v="662"/>
    <d v="2025-01-12T00:00:00"/>
    <x v="2"/>
  </r>
  <r>
    <s v="RCPT00187"/>
    <s v="176-10000187"/>
    <n v="559"/>
    <d v="2025-04-17T00:00:00"/>
    <x v="0"/>
  </r>
  <r>
    <s v="RCPT00188"/>
    <s v="176-10000188"/>
    <n v="1827"/>
    <d v="2025-01-26T00:00:00"/>
    <x v="3"/>
  </r>
  <r>
    <s v="RCPT00189"/>
    <s v="176-10000189"/>
    <n v="1227"/>
    <d v="2025-02-01T00:00:00"/>
    <x v="0"/>
  </r>
  <r>
    <s v="RCPT00190"/>
    <s v="176-10000190"/>
    <n v="1173"/>
    <d v="2025-03-22T00:00:00"/>
    <x v="1"/>
  </r>
  <r>
    <s v="RCPT00191"/>
    <s v="176-10000191"/>
    <n v="498"/>
    <d v="2025-02-06T00:00:00"/>
    <x v="3"/>
  </r>
  <r>
    <s v="RCPT00192"/>
    <s v="176-10000192"/>
    <n v="1023"/>
    <d v="2025-03-25T00:00:00"/>
    <x v="0"/>
  </r>
  <r>
    <s v="RCPT00193"/>
    <s v="176-10000193"/>
    <n v="2227"/>
    <d v="2025-04-03T00:00:00"/>
    <x v="1"/>
  </r>
  <r>
    <s v="RCPT00194"/>
    <s v="176-10000194"/>
    <n v="1266"/>
    <d v="2025-01-23T00:00:00"/>
    <x v="4"/>
  </r>
  <r>
    <s v="RCPT00195"/>
    <s v="176-10000195"/>
    <n v="1564"/>
    <d v="2025-01-20T00:00:00"/>
    <x v="4"/>
  </r>
  <r>
    <s v="RCPT00196"/>
    <s v="176-10000196"/>
    <n v="1278"/>
    <d v="2025-04-22T00:00:00"/>
    <x v="2"/>
  </r>
  <r>
    <s v="RCPT00197"/>
    <s v="176-10000197"/>
    <n v="859"/>
    <d v="2025-02-18T00:00:00"/>
    <x v="3"/>
  </r>
  <r>
    <s v="RCPT00198"/>
    <s v="176-10000198"/>
    <n v="958"/>
    <d v="2025-01-18T00:00:00"/>
    <x v="4"/>
  </r>
  <r>
    <s v="RCPT00199"/>
    <s v="176-10000199"/>
    <n v="1435"/>
    <d v="2025-04-16T00:00:00"/>
    <x v="3"/>
  </r>
  <r>
    <s v="RCPT00200"/>
    <s v="176-10000200"/>
    <n v="275"/>
    <d v="2025-02-14T00:00:00"/>
    <x v="4"/>
  </r>
  <r>
    <s v="RCPT00201"/>
    <s v="176-10000201"/>
    <n v="1365"/>
    <d v="2025-03-21T00:00:00"/>
    <x v="2"/>
  </r>
  <r>
    <s v="RCPT00202"/>
    <s v="176-10000202"/>
    <n v="1566"/>
    <d v="2025-02-18T00:00:00"/>
    <x v="0"/>
  </r>
  <r>
    <s v="RCPT00203"/>
    <s v="176-10000203"/>
    <n v="2150"/>
    <d v="2025-03-11T00:00:00"/>
    <x v="2"/>
  </r>
  <r>
    <s v="RCPT00204"/>
    <s v="176-10000204"/>
    <n v="1226"/>
    <d v="2025-01-20T00:00:00"/>
    <x v="1"/>
  </r>
  <r>
    <s v="RCPT00205"/>
    <s v="176-10000205"/>
    <n v="541"/>
    <d v="2025-01-11T00:00:00"/>
    <x v="4"/>
  </r>
  <r>
    <s v="RCPT00206"/>
    <s v="176-10000206"/>
    <n v="1431"/>
    <d v="2025-03-19T00:00:00"/>
    <x v="1"/>
  </r>
  <r>
    <s v="RCPT00207"/>
    <s v="176-10000207"/>
    <n v="972"/>
    <d v="2025-01-29T00:00:00"/>
    <x v="1"/>
  </r>
  <r>
    <s v="RCPT00208"/>
    <s v="176-10000208"/>
    <n v="805"/>
    <d v="2025-02-14T00:00:00"/>
    <x v="3"/>
  </r>
  <r>
    <s v="RCPT00209"/>
    <s v="176-10000209"/>
    <n v="1771"/>
    <d v="2025-02-23T00:00:00"/>
    <x v="4"/>
  </r>
  <r>
    <s v="RCPT00210"/>
    <s v="176-10000210"/>
    <n v="1868"/>
    <d v="2025-03-27T00:00:00"/>
    <x v="1"/>
  </r>
  <r>
    <s v="RCPT00211"/>
    <s v="176-10000211"/>
    <n v="1875"/>
    <d v="2025-03-17T00:00:00"/>
    <x v="0"/>
  </r>
  <r>
    <s v="RCPT00212"/>
    <s v="176-10000212"/>
    <n v="1089"/>
    <d v="2025-04-22T00:00:00"/>
    <x v="1"/>
  </r>
  <r>
    <s v="RCPT00213"/>
    <s v="176-10000213"/>
    <n v="1803"/>
    <d v="2025-03-05T00:00:00"/>
    <x v="0"/>
  </r>
  <r>
    <s v="RCPT00214"/>
    <s v="176-10000214"/>
    <n v="849"/>
    <d v="2025-02-01T00:00:00"/>
    <x v="3"/>
  </r>
  <r>
    <s v="RCPT00215"/>
    <s v="176-10000215"/>
    <n v="1471"/>
    <d v="2025-03-27T00:00:00"/>
    <x v="1"/>
  </r>
  <r>
    <s v="RCPT00216"/>
    <s v="176-10000216"/>
    <n v="692"/>
    <d v="2025-03-28T00:00:00"/>
    <x v="2"/>
  </r>
  <r>
    <s v="RCPT00217"/>
    <s v="176-10000217"/>
    <n v="1855"/>
    <d v="2025-04-28T00:00:00"/>
    <x v="3"/>
  </r>
  <r>
    <s v="RCPT00218"/>
    <s v="176-10000218"/>
    <n v="365"/>
    <d v="2025-01-07T00:00:00"/>
    <x v="0"/>
  </r>
  <r>
    <s v="RCPT00219"/>
    <s v="176-10000219"/>
    <n v="1484"/>
    <d v="2025-04-02T00:00:00"/>
    <x v="3"/>
  </r>
  <r>
    <s v="RCPT00220"/>
    <s v="176-10000220"/>
    <n v="1175"/>
    <d v="2025-04-09T00:00:00"/>
    <x v="1"/>
  </r>
  <r>
    <s v="RCPT00221"/>
    <s v="176-10000221"/>
    <n v="1131"/>
    <d v="2025-04-02T00:00:00"/>
    <x v="4"/>
  </r>
  <r>
    <s v="RCPT00222"/>
    <s v="176-10000222"/>
    <n v="459"/>
    <d v="2025-01-14T00:00:00"/>
    <x v="4"/>
  </r>
  <r>
    <s v="RCPT00223"/>
    <s v="176-10000223"/>
    <n v="1637"/>
    <d v="2025-04-21T00:00:00"/>
    <x v="0"/>
  </r>
  <r>
    <s v="RCPT00224"/>
    <s v="176-10000224"/>
    <n v="1413"/>
    <d v="2025-04-08T00:00:00"/>
    <x v="0"/>
  </r>
  <r>
    <s v="RCPT00225"/>
    <s v="176-10000225"/>
    <n v="2288"/>
    <d v="2025-04-10T00:00:00"/>
    <x v="4"/>
  </r>
  <r>
    <s v="RCPT00226"/>
    <s v="176-10000226"/>
    <n v="1449"/>
    <d v="2025-02-22T00:00:00"/>
    <x v="0"/>
  </r>
  <r>
    <s v="RCPT00227"/>
    <s v="176-10000227"/>
    <n v="2000"/>
    <d v="2025-04-02T00:00:00"/>
    <x v="3"/>
  </r>
  <r>
    <s v="RCPT00228"/>
    <s v="176-10000228"/>
    <n v="1212"/>
    <d v="2025-04-09T00:00:00"/>
    <x v="2"/>
  </r>
  <r>
    <s v="RCPT00229"/>
    <s v="176-10000229"/>
    <n v="1470"/>
    <d v="2025-02-16T00:00:00"/>
    <x v="2"/>
  </r>
  <r>
    <s v="RCPT00230"/>
    <s v="176-10000230"/>
    <n v="1333"/>
    <d v="2025-02-08T00:00:00"/>
    <x v="3"/>
  </r>
  <r>
    <s v="RCPT00231"/>
    <s v="176-10000231"/>
    <n v="1999"/>
    <d v="2025-02-09T00:00:00"/>
    <x v="2"/>
  </r>
  <r>
    <s v="RCPT00232"/>
    <s v="176-10000232"/>
    <n v="2010"/>
    <d v="2025-02-13T00:00:00"/>
    <x v="1"/>
  </r>
  <r>
    <s v="RCPT00233"/>
    <s v="176-10000233"/>
    <n v="2244"/>
    <d v="2025-02-09T00:00:00"/>
    <x v="3"/>
  </r>
  <r>
    <s v="RCPT00234"/>
    <s v="176-10000234"/>
    <n v="1082"/>
    <d v="2025-04-16T00:00:00"/>
    <x v="0"/>
  </r>
  <r>
    <s v="RCPT00235"/>
    <s v="176-10000235"/>
    <n v="1694"/>
    <d v="2025-01-29T00:00:00"/>
    <x v="3"/>
  </r>
  <r>
    <s v="RCPT00236"/>
    <s v="176-10000236"/>
    <n v="1208"/>
    <d v="2025-01-03T00:00:00"/>
    <x v="4"/>
  </r>
  <r>
    <s v="RCPT00237"/>
    <s v="176-10000237"/>
    <n v="1970"/>
    <d v="2025-02-04T00:00:00"/>
    <x v="0"/>
  </r>
  <r>
    <s v="RCPT00238"/>
    <s v="176-10000238"/>
    <n v="1997"/>
    <d v="2025-01-22T00:00:00"/>
    <x v="4"/>
  </r>
  <r>
    <s v="RCPT00239"/>
    <s v="176-10000239"/>
    <n v="1374"/>
    <d v="2025-02-18T00:00:00"/>
    <x v="0"/>
  </r>
  <r>
    <s v="RCPT00240"/>
    <s v="176-10000240"/>
    <n v="247"/>
    <d v="2025-04-12T00:00:00"/>
    <x v="2"/>
  </r>
  <r>
    <s v="RCPT00241"/>
    <s v="176-10000241"/>
    <n v="651"/>
    <d v="2025-01-03T00:00:00"/>
    <x v="3"/>
  </r>
  <r>
    <s v="RCPT00242"/>
    <s v="176-10000242"/>
    <n v="1198"/>
    <d v="2025-01-07T00:00:00"/>
    <x v="1"/>
  </r>
  <r>
    <s v="RCPT00243"/>
    <s v="176-10000243"/>
    <n v="560"/>
    <d v="2025-03-03T00:00:00"/>
    <x v="0"/>
  </r>
  <r>
    <s v="RCPT00244"/>
    <s v="176-10000244"/>
    <n v="2192"/>
    <d v="2025-03-12T00:00:00"/>
    <x v="0"/>
  </r>
  <r>
    <s v="RCPT00245"/>
    <s v="176-10000245"/>
    <n v="2086"/>
    <d v="2025-04-10T00:00:00"/>
    <x v="4"/>
  </r>
  <r>
    <s v="RCPT00246"/>
    <s v="176-10000246"/>
    <n v="1695"/>
    <d v="2025-03-24T00:00:00"/>
    <x v="2"/>
  </r>
  <r>
    <s v="RCPT00247"/>
    <s v="176-10000247"/>
    <n v="1624"/>
    <d v="2025-02-06T00:00:00"/>
    <x v="4"/>
  </r>
  <r>
    <s v="RCPT00248"/>
    <s v="176-10000248"/>
    <n v="1989"/>
    <d v="2025-01-05T00:00:00"/>
    <x v="4"/>
  </r>
  <r>
    <s v="RCPT00249"/>
    <s v="176-10000249"/>
    <n v="1477"/>
    <d v="2025-01-04T00:00:00"/>
    <x v="2"/>
  </r>
  <r>
    <s v="RCPT00250"/>
    <s v="176-10000250"/>
    <n v="901"/>
    <d v="2025-01-12T00:00:00"/>
    <x v="1"/>
  </r>
  <r>
    <s v="RCPT00251"/>
    <s v="176-10000251"/>
    <n v="1268"/>
    <d v="2025-03-13T00:00:00"/>
    <x v="4"/>
  </r>
  <r>
    <s v="RCPT00252"/>
    <s v="176-10000252"/>
    <n v="1904"/>
    <d v="2025-01-26T00:00:00"/>
    <x v="4"/>
  </r>
  <r>
    <s v="RCPT00253"/>
    <s v="176-10000253"/>
    <n v="1471"/>
    <d v="2025-01-18T00:00:00"/>
    <x v="0"/>
  </r>
  <r>
    <s v="RCPT00254"/>
    <s v="176-10000254"/>
    <n v="1518"/>
    <d v="2025-04-07T00:00:00"/>
    <x v="2"/>
  </r>
  <r>
    <s v="RCPT00255"/>
    <s v="176-10000255"/>
    <n v="1423"/>
    <d v="2025-02-27T00:00:00"/>
    <x v="3"/>
  </r>
  <r>
    <s v="RCPT00256"/>
    <s v="176-10000256"/>
    <n v="1023"/>
    <d v="2025-03-12T00:00:00"/>
    <x v="1"/>
  </r>
  <r>
    <s v="RCPT00257"/>
    <s v="176-10000257"/>
    <n v="1124"/>
    <d v="2025-02-04T00:00:00"/>
    <x v="1"/>
  </r>
  <r>
    <s v="RCPT00258"/>
    <s v="176-10000258"/>
    <n v="2091"/>
    <d v="2025-02-15T00:00:00"/>
    <x v="2"/>
  </r>
  <r>
    <s v="RCPT00259"/>
    <s v="176-10000259"/>
    <n v="2306"/>
    <d v="2025-04-13T00:00:00"/>
    <x v="0"/>
  </r>
  <r>
    <s v="RCPT00260"/>
    <s v="176-10000260"/>
    <n v="1565"/>
    <d v="2025-04-18T00:00:00"/>
    <x v="0"/>
  </r>
  <r>
    <s v="RCPT00261"/>
    <s v="176-10000261"/>
    <n v="729"/>
    <d v="2025-01-23T00:00:00"/>
    <x v="2"/>
  </r>
  <r>
    <s v="RCPT00262"/>
    <s v="176-10000262"/>
    <n v="552"/>
    <d v="2025-04-07T00:00:00"/>
    <x v="0"/>
  </r>
  <r>
    <s v="RCPT00263"/>
    <s v="176-10000263"/>
    <n v="1781"/>
    <d v="2025-02-22T00:00:00"/>
    <x v="1"/>
  </r>
  <r>
    <s v="RCPT00264"/>
    <s v="176-10000264"/>
    <n v="1906"/>
    <d v="2025-01-16T00:00:00"/>
    <x v="1"/>
  </r>
  <r>
    <s v="RCPT00265"/>
    <s v="176-10000265"/>
    <n v="1343"/>
    <d v="2025-03-17T00:00:00"/>
    <x v="3"/>
  </r>
  <r>
    <s v="RCPT00266"/>
    <s v="176-10000266"/>
    <n v="810"/>
    <d v="2025-04-16T00:00:00"/>
    <x v="2"/>
  </r>
  <r>
    <s v="RCPT00267"/>
    <s v="176-10000267"/>
    <n v="1398"/>
    <d v="2025-04-21T00:00:00"/>
    <x v="4"/>
  </r>
  <r>
    <s v="RCPT00268"/>
    <s v="176-10000268"/>
    <n v="2233"/>
    <d v="2025-01-08T00:00:00"/>
    <x v="4"/>
  </r>
  <r>
    <s v="RCPT00269"/>
    <s v="176-10000269"/>
    <n v="1977"/>
    <d v="2025-04-28T00:00:00"/>
    <x v="3"/>
  </r>
  <r>
    <s v="RCPT00270"/>
    <s v="176-10000270"/>
    <n v="1702"/>
    <d v="2025-01-06T00:00:00"/>
    <x v="3"/>
  </r>
  <r>
    <s v="RCPT00271"/>
    <s v="176-10000271"/>
    <n v="940"/>
    <d v="2025-02-10T00:00:00"/>
    <x v="0"/>
  </r>
  <r>
    <s v="RCPT00272"/>
    <s v="176-10000272"/>
    <n v="841"/>
    <d v="2025-02-13T00:00:00"/>
    <x v="3"/>
  </r>
  <r>
    <s v="RCPT00273"/>
    <s v="176-10000273"/>
    <n v="1410"/>
    <d v="2025-02-16T00:00:00"/>
    <x v="3"/>
  </r>
  <r>
    <s v="RCPT00274"/>
    <s v="176-10000274"/>
    <n v="1945"/>
    <d v="2025-04-14T00:00:00"/>
    <x v="4"/>
  </r>
  <r>
    <s v="RCPT00275"/>
    <s v="176-10000275"/>
    <n v="1907"/>
    <d v="2025-04-22T00:00:00"/>
    <x v="0"/>
  </r>
  <r>
    <s v="RCPT00276"/>
    <s v="176-10000276"/>
    <n v="621"/>
    <d v="2025-04-07T00:00:00"/>
    <x v="3"/>
  </r>
  <r>
    <s v="RCPT00277"/>
    <s v="176-10000277"/>
    <n v="726"/>
    <d v="2025-02-08T00:00:00"/>
    <x v="3"/>
  </r>
  <r>
    <s v="RCPT00278"/>
    <s v="176-10000278"/>
    <n v="655"/>
    <d v="2025-02-25T00:00:00"/>
    <x v="0"/>
  </r>
  <r>
    <s v="RCPT00279"/>
    <s v="176-10000279"/>
    <n v="1322"/>
    <d v="2025-04-16T00:00:00"/>
    <x v="2"/>
  </r>
  <r>
    <s v="RCPT00280"/>
    <s v="176-10000280"/>
    <n v="1029"/>
    <d v="2025-02-10T00:00:00"/>
    <x v="0"/>
  </r>
  <r>
    <s v="RCPT00281"/>
    <s v="176-10000281"/>
    <n v="2062"/>
    <d v="2025-02-26T00:00:00"/>
    <x v="4"/>
  </r>
  <r>
    <s v="RCPT00282"/>
    <s v="176-10000282"/>
    <n v="730"/>
    <d v="2025-03-16T00:00:00"/>
    <x v="2"/>
  </r>
  <r>
    <s v="RCPT00283"/>
    <s v="176-10000283"/>
    <n v="1242"/>
    <d v="2025-01-09T00:00:00"/>
    <x v="1"/>
  </r>
  <r>
    <s v="RCPT00284"/>
    <s v="176-10000284"/>
    <n v="1142"/>
    <d v="2025-02-03T00:00:00"/>
    <x v="0"/>
  </r>
  <r>
    <s v="RCPT00285"/>
    <s v="176-10000285"/>
    <n v="1914"/>
    <d v="2025-01-09T00:00:00"/>
    <x v="4"/>
  </r>
  <r>
    <s v="RCPT00286"/>
    <s v="176-10000286"/>
    <n v="792"/>
    <d v="2025-01-22T00:00:00"/>
    <x v="2"/>
  </r>
  <r>
    <s v="RCPT00287"/>
    <s v="176-10000287"/>
    <n v="1458"/>
    <d v="2025-02-09T00:00:00"/>
    <x v="0"/>
  </r>
  <r>
    <s v="RCPT00288"/>
    <s v="176-10000288"/>
    <n v="1200"/>
    <d v="2025-03-01T00:00:00"/>
    <x v="3"/>
  </r>
  <r>
    <s v="RCPT00289"/>
    <s v="176-10000289"/>
    <n v="662"/>
    <d v="2025-02-06T00:00:00"/>
    <x v="0"/>
  </r>
  <r>
    <s v="RCPT00290"/>
    <s v="176-10000290"/>
    <n v="977"/>
    <d v="2025-01-19T00:00:00"/>
    <x v="1"/>
  </r>
  <r>
    <s v="RCPT00291"/>
    <s v="176-10000291"/>
    <n v="1793"/>
    <d v="2025-01-08T00:00:00"/>
    <x v="0"/>
  </r>
  <r>
    <s v="RCPT00292"/>
    <s v="176-10000292"/>
    <n v="1715"/>
    <d v="2025-04-23T00:00:00"/>
    <x v="2"/>
  </r>
  <r>
    <s v="RCPT00293"/>
    <s v="176-10000293"/>
    <n v="2030"/>
    <d v="2025-01-11T00:00:00"/>
    <x v="2"/>
  </r>
  <r>
    <s v="RCPT00294"/>
    <s v="176-10000294"/>
    <n v="873"/>
    <d v="2025-03-10T00:00:00"/>
    <x v="0"/>
  </r>
  <r>
    <s v="RCPT00295"/>
    <s v="176-10000295"/>
    <n v="2211"/>
    <d v="2025-04-05T00:00:00"/>
    <x v="2"/>
  </r>
  <r>
    <s v="RCPT00296"/>
    <s v="176-10000296"/>
    <n v="1263"/>
    <d v="2025-02-15T00:00:00"/>
    <x v="3"/>
  </r>
  <r>
    <s v="RCPT00297"/>
    <s v="176-10000297"/>
    <n v="1284"/>
    <d v="2025-01-11T00:00:00"/>
    <x v="0"/>
  </r>
  <r>
    <s v="RCPT00298"/>
    <s v="176-10000298"/>
    <n v="1089"/>
    <d v="2025-03-13T00:00:00"/>
    <x v="3"/>
  </r>
  <r>
    <s v="RCPT00299"/>
    <s v="176-10000299"/>
    <n v="1460"/>
    <d v="2025-01-13T00:00:00"/>
    <x v="3"/>
  </r>
  <r>
    <s v="RCPT00300"/>
    <s v="176-10000300"/>
    <n v="975"/>
    <d v="2025-01-03T00:00:00"/>
    <x v="4"/>
  </r>
  <r>
    <s v="RCPT00301"/>
    <s v="176-10000301"/>
    <n v="502"/>
    <d v="2025-04-27T00:00:00"/>
    <x v="0"/>
  </r>
  <r>
    <s v="RCPT00302"/>
    <s v="176-10000302"/>
    <n v="905"/>
    <d v="2025-03-28T00:00:00"/>
    <x v="2"/>
  </r>
  <r>
    <s v="RCPT00303"/>
    <s v="176-10000303"/>
    <n v="1603"/>
    <d v="2025-03-12T00:00:00"/>
    <x v="3"/>
  </r>
  <r>
    <s v="RCPT00304"/>
    <s v="176-10000304"/>
    <n v="852"/>
    <d v="2025-02-09T00:00:00"/>
    <x v="4"/>
  </r>
  <r>
    <s v="RCPT00305"/>
    <s v="176-10000305"/>
    <n v="822"/>
    <d v="2025-04-18T00:00:00"/>
    <x v="0"/>
  </r>
  <r>
    <s v="RCPT00306"/>
    <s v="176-10000306"/>
    <n v="1400"/>
    <d v="2025-02-08T00:00:00"/>
    <x v="0"/>
  </r>
  <r>
    <s v="RCPT00307"/>
    <s v="176-10000307"/>
    <n v="1965"/>
    <d v="2025-03-11T00:00:00"/>
    <x v="1"/>
  </r>
  <r>
    <s v="RCPT00308"/>
    <s v="176-10000308"/>
    <n v="1220"/>
    <d v="2025-02-22T00:00:00"/>
    <x v="1"/>
  </r>
  <r>
    <s v="RCPT00309"/>
    <s v="176-10000309"/>
    <n v="456"/>
    <d v="2025-03-26T00:00:00"/>
    <x v="3"/>
  </r>
  <r>
    <s v="RCPT00310"/>
    <s v="176-10000310"/>
    <n v="2110"/>
    <d v="2025-03-06T00:00:00"/>
    <x v="1"/>
  </r>
  <r>
    <s v="RCPT00311"/>
    <s v="176-10000311"/>
    <n v="490"/>
    <d v="2025-01-11T00:00:00"/>
    <x v="3"/>
  </r>
  <r>
    <s v="RCPT00312"/>
    <s v="176-10000312"/>
    <n v="1786"/>
    <d v="2025-01-13T00:00:00"/>
    <x v="2"/>
  </r>
  <r>
    <s v="RCPT00313"/>
    <s v="176-10000313"/>
    <n v="755"/>
    <d v="2025-03-07T00:00:00"/>
    <x v="3"/>
  </r>
  <r>
    <s v="RCPT00314"/>
    <s v="176-10000314"/>
    <n v="1747"/>
    <d v="2025-04-26T00:00:00"/>
    <x v="1"/>
  </r>
  <r>
    <s v="RCPT00315"/>
    <s v="176-10000315"/>
    <n v="1787"/>
    <d v="2025-04-26T00:00:00"/>
    <x v="2"/>
  </r>
  <r>
    <s v="RCPT00316"/>
    <s v="176-10000316"/>
    <n v="950"/>
    <d v="2025-04-04T00:00:00"/>
    <x v="1"/>
  </r>
  <r>
    <s v="RCPT00317"/>
    <s v="176-10000317"/>
    <n v="423"/>
    <d v="2025-03-24T00:00:00"/>
    <x v="3"/>
  </r>
  <r>
    <s v="RCPT00318"/>
    <s v="176-10000318"/>
    <n v="1959"/>
    <d v="2025-04-24T00:00:00"/>
    <x v="4"/>
  </r>
  <r>
    <s v="RCPT00319"/>
    <s v="176-10000319"/>
    <n v="495"/>
    <d v="2025-04-21T00:00:00"/>
    <x v="0"/>
  </r>
  <r>
    <s v="RCPT00320"/>
    <s v="176-10000320"/>
    <n v="1570"/>
    <d v="2025-03-05T00:00:00"/>
    <x v="1"/>
  </r>
  <r>
    <s v="RCPT00321"/>
    <s v="176-10000321"/>
    <n v="1258"/>
    <d v="2025-01-12T00:00:00"/>
    <x v="3"/>
  </r>
  <r>
    <s v="RCPT00322"/>
    <s v="176-10000322"/>
    <n v="1121"/>
    <d v="2025-02-06T00:00:00"/>
    <x v="2"/>
  </r>
  <r>
    <s v="RCPT00323"/>
    <s v="176-10000323"/>
    <n v="287"/>
    <d v="2025-04-25T00:00:00"/>
    <x v="1"/>
  </r>
  <r>
    <s v="RCPT00324"/>
    <s v="176-10000324"/>
    <n v="1663"/>
    <d v="2025-04-11T00:00:00"/>
    <x v="1"/>
  </r>
  <r>
    <s v="RCPT00325"/>
    <s v="176-10000325"/>
    <n v="1791"/>
    <d v="2025-04-07T00:00:00"/>
    <x v="0"/>
  </r>
  <r>
    <s v="RCPT00326"/>
    <s v="176-10000326"/>
    <n v="1106"/>
    <d v="2025-02-20T00:00:00"/>
    <x v="3"/>
  </r>
  <r>
    <s v="RCPT00327"/>
    <s v="176-10000327"/>
    <n v="682"/>
    <d v="2025-02-03T00:00:00"/>
    <x v="4"/>
  </r>
  <r>
    <s v="RCPT00328"/>
    <s v="176-10000328"/>
    <n v="2130"/>
    <d v="2025-04-07T00:00:00"/>
    <x v="2"/>
  </r>
  <r>
    <s v="RCPT00329"/>
    <s v="176-10000329"/>
    <n v="1506"/>
    <d v="2025-02-15T00:00:00"/>
    <x v="3"/>
  </r>
  <r>
    <s v="RCPT00330"/>
    <s v="176-10000330"/>
    <n v="1813"/>
    <d v="2025-03-24T00:00:00"/>
    <x v="2"/>
  </r>
  <r>
    <s v="RCPT00331"/>
    <s v="176-10000331"/>
    <n v="651"/>
    <d v="2025-03-09T00:00:00"/>
    <x v="1"/>
  </r>
  <r>
    <s v="RCPT00332"/>
    <s v="176-10000332"/>
    <n v="1090"/>
    <d v="2025-01-10T00:00:00"/>
    <x v="0"/>
  </r>
  <r>
    <s v="RCPT00333"/>
    <s v="176-10000333"/>
    <n v="1163"/>
    <d v="2025-03-27T00:00:00"/>
    <x v="0"/>
  </r>
  <r>
    <s v="RCPT00334"/>
    <s v="176-10000334"/>
    <n v="1534"/>
    <d v="2025-01-19T00:00:00"/>
    <x v="4"/>
  </r>
  <r>
    <s v="RCPT00335"/>
    <s v="176-10000335"/>
    <n v="2248"/>
    <d v="2025-01-24T00:00:00"/>
    <x v="0"/>
  </r>
  <r>
    <s v="RCPT00336"/>
    <s v="176-10000336"/>
    <n v="2027"/>
    <d v="2025-04-29T00:00:00"/>
    <x v="1"/>
  </r>
  <r>
    <s v="RCPT00337"/>
    <s v="176-10000337"/>
    <n v="908"/>
    <d v="2025-01-10T00:00:00"/>
    <x v="4"/>
  </r>
  <r>
    <s v="RCPT00338"/>
    <s v="176-10000338"/>
    <n v="1744"/>
    <d v="2025-03-14T00:00:00"/>
    <x v="3"/>
  </r>
  <r>
    <s v="RCPT00339"/>
    <s v="176-10000339"/>
    <n v="1480"/>
    <d v="2025-02-01T00:00:00"/>
    <x v="0"/>
  </r>
  <r>
    <s v="RCPT00340"/>
    <s v="176-10000340"/>
    <n v="529"/>
    <d v="2025-02-13T00:00:00"/>
    <x v="4"/>
  </r>
  <r>
    <s v="RCPT00341"/>
    <s v="176-10000341"/>
    <n v="2001"/>
    <d v="2025-03-14T00:00:00"/>
    <x v="1"/>
  </r>
  <r>
    <s v="RCPT00342"/>
    <s v="176-10000342"/>
    <n v="1099"/>
    <d v="2025-03-13T00:00:00"/>
    <x v="2"/>
  </r>
  <r>
    <s v="RCPT00343"/>
    <s v="176-10000343"/>
    <n v="1218"/>
    <d v="2025-03-15T00:00:00"/>
    <x v="2"/>
  </r>
  <r>
    <s v="RCPT00344"/>
    <s v="176-10000344"/>
    <n v="1436"/>
    <d v="2025-03-12T00:00:00"/>
    <x v="1"/>
  </r>
  <r>
    <s v="RCPT00345"/>
    <s v="176-10000345"/>
    <n v="550"/>
    <d v="2025-02-06T00:00:00"/>
    <x v="1"/>
  </r>
  <r>
    <s v="RCPT00346"/>
    <s v="176-10000346"/>
    <n v="471"/>
    <d v="2025-02-28T00:00:00"/>
    <x v="2"/>
  </r>
  <r>
    <s v="RCPT00347"/>
    <s v="176-10000347"/>
    <n v="570"/>
    <d v="2025-03-28T00:00:00"/>
    <x v="4"/>
  </r>
  <r>
    <s v="RCPT00348"/>
    <s v="176-10000348"/>
    <n v="1312"/>
    <d v="2025-02-04T00:00:00"/>
    <x v="2"/>
  </r>
  <r>
    <s v="RCPT00349"/>
    <s v="176-10000349"/>
    <n v="2004"/>
    <d v="2025-01-17T00:00:00"/>
    <x v="1"/>
  </r>
  <r>
    <s v="RCPT00350"/>
    <s v="176-10000350"/>
    <n v="1110"/>
    <d v="2025-04-18T00:00:00"/>
    <x v="0"/>
  </r>
  <r>
    <s v="RCPT00351"/>
    <s v="176-10000351"/>
    <n v="593"/>
    <d v="2025-03-28T00:00:00"/>
    <x v="3"/>
  </r>
  <r>
    <s v="RCPT00352"/>
    <s v="176-10000352"/>
    <n v="2174"/>
    <d v="2025-04-24T00:00:00"/>
    <x v="0"/>
  </r>
  <r>
    <s v="RCPT00353"/>
    <s v="176-10000353"/>
    <n v="1428"/>
    <d v="2025-02-24T00:00:00"/>
    <x v="0"/>
  </r>
  <r>
    <s v="RCPT00354"/>
    <s v="176-10000354"/>
    <n v="1519"/>
    <d v="2025-04-07T00:00:00"/>
    <x v="1"/>
  </r>
  <r>
    <s v="RCPT00355"/>
    <s v="176-10000355"/>
    <n v="501"/>
    <d v="2025-03-06T00:00:00"/>
    <x v="2"/>
  </r>
  <r>
    <s v="RCPT00356"/>
    <s v="176-10000356"/>
    <n v="1529"/>
    <d v="2025-03-21T00:00:00"/>
    <x v="4"/>
  </r>
  <r>
    <s v="RCPT00357"/>
    <s v="176-10000357"/>
    <n v="1197"/>
    <d v="2025-05-01T00:00:00"/>
    <x v="0"/>
  </r>
  <r>
    <s v="RCPT00358"/>
    <s v="176-10000358"/>
    <n v="337"/>
    <d v="2025-02-04T00:00:00"/>
    <x v="2"/>
  </r>
  <r>
    <s v="RCPT00359"/>
    <s v="176-10000359"/>
    <n v="1900"/>
    <d v="2025-04-08T00:00:00"/>
    <x v="4"/>
  </r>
  <r>
    <s v="RCPT00360"/>
    <s v="176-10000360"/>
    <n v="447"/>
    <d v="2025-03-11T00:00:00"/>
    <x v="0"/>
  </r>
  <r>
    <s v="RCPT00361"/>
    <s v="176-10000361"/>
    <n v="470"/>
    <d v="2025-02-24T00:00:00"/>
    <x v="4"/>
  </r>
  <r>
    <s v="RCPT00362"/>
    <s v="176-10000362"/>
    <n v="1212"/>
    <d v="2025-04-30T00:00:00"/>
    <x v="2"/>
  </r>
  <r>
    <s v="RCPT00363"/>
    <s v="176-10000363"/>
    <n v="428"/>
    <d v="2025-02-18T00:00:00"/>
    <x v="3"/>
  </r>
  <r>
    <s v="RCPT00364"/>
    <s v="176-10000364"/>
    <n v="1132"/>
    <d v="2025-03-10T00:00:00"/>
    <x v="2"/>
  </r>
  <r>
    <s v="RCPT00365"/>
    <s v="176-10000365"/>
    <n v="880"/>
    <d v="2025-02-03T00:00:00"/>
    <x v="1"/>
  </r>
  <r>
    <s v="RCPT00366"/>
    <s v="176-10000366"/>
    <n v="1806"/>
    <d v="2025-04-10T00:00:00"/>
    <x v="4"/>
  </r>
  <r>
    <s v="RCPT00367"/>
    <s v="176-10000367"/>
    <n v="871"/>
    <d v="2025-03-31T00:00:00"/>
    <x v="3"/>
  </r>
  <r>
    <s v="RCPT00368"/>
    <s v="176-10000368"/>
    <n v="932"/>
    <d v="2025-04-29T00:00:00"/>
    <x v="4"/>
  </r>
  <r>
    <s v="RCPT00369"/>
    <s v="176-10000369"/>
    <n v="300"/>
    <d v="2025-02-19T00:00:00"/>
    <x v="4"/>
  </r>
  <r>
    <s v="RCPT00370"/>
    <s v="176-10000370"/>
    <n v="1097"/>
    <d v="2025-03-06T00:00:00"/>
    <x v="0"/>
  </r>
  <r>
    <s v="RCPT00371"/>
    <s v="176-10000371"/>
    <n v="1300"/>
    <d v="2025-03-29T00:00:00"/>
    <x v="1"/>
  </r>
  <r>
    <s v="RCPT00372"/>
    <s v="176-10000372"/>
    <n v="1815"/>
    <d v="2025-04-08T00:00:00"/>
    <x v="4"/>
  </r>
  <r>
    <s v="RCPT00373"/>
    <s v="176-10000373"/>
    <n v="724"/>
    <d v="2025-03-21T00:00:00"/>
    <x v="2"/>
  </r>
  <r>
    <s v="RCPT00374"/>
    <s v="176-10000374"/>
    <n v="1758"/>
    <d v="2025-01-25T00:00:00"/>
    <x v="2"/>
  </r>
  <r>
    <s v="RCPT00375"/>
    <s v="176-10000375"/>
    <n v="1035"/>
    <d v="2025-02-04T00:00:00"/>
    <x v="0"/>
  </r>
  <r>
    <s v="RCPT00376"/>
    <s v="176-10000376"/>
    <n v="1755"/>
    <d v="2025-03-05T00:00:00"/>
    <x v="1"/>
  </r>
  <r>
    <s v="RCPT00377"/>
    <s v="176-10000377"/>
    <n v="981"/>
    <d v="2025-02-07T00:00:00"/>
    <x v="1"/>
  </r>
  <r>
    <s v="RCPT00378"/>
    <s v="176-10000378"/>
    <n v="1701"/>
    <d v="2025-02-15T00:00:00"/>
    <x v="2"/>
  </r>
  <r>
    <s v="RCPT00379"/>
    <s v="176-10000379"/>
    <n v="2180"/>
    <d v="2025-02-20T00:00:00"/>
    <x v="3"/>
  </r>
  <r>
    <s v="RCPT00380"/>
    <s v="176-10000380"/>
    <n v="1684"/>
    <d v="2025-03-18T00:00:00"/>
    <x v="0"/>
  </r>
  <r>
    <s v="RCPT00381"/>
    <s v="176-10000381"/>
    <n v="1569"/>
    <d v="2025-01-26T00:00:00"/>
    <x v="0"/>
  </r>
  <r>
    <s v="RCPT00382"/>
    <s v="176-10000382"/>
    <n v="1584"/>
    <d v="2025-04-22T00:00:00"/>
    <x v="2"/>
  </r>
  <r>
    <s v="RCPT00383"/>
    <s v="176-10000383"/>
    <n v="537"/>
    <d v="2025-04-06T00:00:00"/>
    <x v="2"/>
  </r>
  <r>
    <s v="RCPT00384"/>
    <s v="176-10000384"/>
    <n v="595"/>
    <d v="2025-03-19T00:00:00"/>
    <x v="3"/>
  </r>
  <r>
    <s v="RCPT00385"/>
    <s v="176-10000385"/>
    <n v="873"/>
    <d v="2025-04-27T00:00:00"/>
    <x v="3"/>
  </r>
  <r>
    <s v="RCPT00386"/>
    <s v="176-10000386"/>
    <n v="359"/>
    <d v="2025-03-15T00:00:00"/>
    <x v="1"/>
  </r>
  <r>
    <s v="RCPT00387"/>
    <s v="176-10000387"/>
    <n v="775"/>
    <d v="2025-03-04T00:00:00"/>
    <x v="0"/>
  </r>
  <r>
    <s v="RCPT00388"/>
    <s v="176-10000388"/>
    <n v="1554"/>
    <d v="2025-03-08T00:00:00"/>
    <x v="0"/>
  </r>
  <r>
    <s v="RCPT00389"/>
    <s v="176-10000389"/>
    <n v="483"/>
    <d v="2025-02-25T00:00:00"/>
    <x v="2"/>
  </r>
  <r>
    <s v="RCPT00390"/>
    <s v="176-10000390"/>
    <n v="1423"/>
    <d v="2025-02-04T00:00:00"/>
    <x v="1"/>
  </r>
  <r>
    <s v="RCPT00391"/>
    <s v="176-10000391"/>
    <n v="1885"/>
    <d v="2025-03-31T00:00:00"/>
    <x v="0"/>
  </r>
  <r>
    <s v="RCPT00392"/>
    <s v="176-10000392"/>
    <n v="1803"/>
    <d v="2025-03-11T00:00:00"/>
    <x v="1"/>
  </r>
  <r>
    <s v="RCPT00393"/>
    <s v="176-10000393"/>
    <n v="546"/>
    <d v="2025-02-19T00:00:00"/>
    <x v="1"/>
  </r>
  <r>
    <s v="RCPT00394"/>
    <s v="176-10000394"/>
    <n v="943"/>
    <d v="2025-01-17T00:00:00"/>
    <x v="2"/>
  </r>
  <r>
    <s v="RCPT00395"/>
    <s v="176-10000395"/>
    <n v="1273"/>
    <d v="2025-01-21T00:00:00"/>
    <x v="1"/>
  </r>
  <r>
    <s v="RCPT00396"/>
    <s v="176-10000396"/>
    <n v="891"/>
    <d v="2025-01-20T00:00:00"/>
    <x v="3"/>
  </r>
  <r>
    <s v="RCPT00397"/>
    <s v="176-10000397"/>
    <n v="1488"/>
    <d v="2025-03-24T00:00:00"/>
    <x v="3"/>
  </r>
  <r>
    <s v="RCPT00398"/>
    <s v="176-10000398"/>
    <n v="1217"/>
    <d v="2025-01-16T00:00:00"/>
    <x v="4"/>
  </r>
  <r>
    <s v="RCPT00399"/>
    <s v="176-10000399"/>
    <n v="2251"/>
    <d v="2025-04-17T00:00:00"/>
    <x v="2"/>
  </r>
  <r>
    <s v="RCPT00400"/>
    <s v="176-10000400"/>
    <n v="1335"/>
    <d v="2025-02-09T00:00:00"/>
    <x v="4"/>
  </r>
  <r>
    <s v="RCPT00401"/>
    <s v="176-10000401"/>
    <n v="339"/>
    <d v="2025-04-15T00:00:00"/>
    <x v="3"/>
  </r>
  <r>
    <s v="RCPT00402"/>
    <s v="176-10000402"/>
    <n v="1513"/>
    <d v="2025-03-24T00:00:00"/>
    <x v="4"/>
  </r>
  <r>
    <s v="RCPT00403"/>
    <s v="176-10000403"/>
    <n v="1488"/>
    <d v="2025-04-16T00:00:00"/>
    <x v="2"/>
  </r>
  <r>
    <s v="RCPT00404"/>
    <s v="176-10000404"/>
    <n v="1304"/>
    <d v="2025-03-06T00:00:00"/>
    <x v="2"/>
  </r>
  <r>
    <s v="RCPT00405"/>
    <s v="176-10000405"/>
    <n v="1480"/>
    <d v="2025-03-30T00:00:00"/>
    <x v="1"/>
  </r>
  <r>
    <s v="RCPT00406"/>
    <s v="176-10000406"/>
    <n v="292"/>
    <d v="2025-04-25T00:00:00"/>
    <x v="0"/>
  </r>
  <r>
    <s v="RCPT00407"/>
    <s v="176-10000407"/>
    <n v="1967"/>
    <d v="2025-02-04T00:00:00"/>
    <x v="1"/>
  </r>
  <r>
    <s v="RCPT00408"/>
    <s v="176-10000408"/>
    <n v="1165"/>
    <d v="2025-03-22T00:00:00"/>
    <x v="2"/>
  </r>
  <r>
    <s v="RCPT00409"/>
    <s v="176-10000409"/>
    <n v="1802"/>
    <d v="2025-01-15T00:00:00"/>
    <x v="3"/>
  </r>
  <r>
    <s v="RCPT00410"/>
    <s v="176-10000410"/>
    <n v="1677"/>
    <d v="2025-03-19T00:00:00"/>
    <x v="3"/>
  </r>
  <r>
    <s v="RCPT00411"/>
    <s v="176-10000411"/>
    <n v="1555"/>
    <d v="2025-02-14T00:00:00"/>
    <x v="1"/>
  </r>
  <r>
    <s v="RCPT00412"/>
    <s v="176-10000412"/>
    <n v="627"/>
    <d v="2025-02-25T00:00:00"/>
    <x v="2"/>
  </r>
  <r>
    <s v="RCPT00413"/>
    <s v="176-10000413"/>
    <n v="1529"/>
    <d v="2025-01-26T00:00:00"/>
    <x v="3"/>
  </r>
  <r>
    <s v="RCPT00414"/>
    <s v="176-10000414"/>
    <n v="1997"/>
    <d v="2025-02-02T00:00:00"/>
    <x v="2"/>
  </r>
  <r>
    <s v="RCPT00415"/>
    <s v="176-10000415"/>
    <n v="1117"/>
    <d v="2025-01-26T00:00:00"/>
    <x v="3"/>
  </r>
  <r>
    <s v="RCPT00416"/>
    <s v="176-10000416"/>
    <n v="1714"/>
    <d v="2025-04-30T00:00:00"/>
    <x v="2"/>
  </r>
  <r>
    <s v="RCPT00417"/>
    <s v="176-10000417"/>
    <n v="946"/>
    <d v="2025-04-24T00:00:00"/>
    <x v="4"/>
  </r>
  <r>
    <s v="RCPT00418"/>
    <s v="176-10000418"/>
    <n v="2310"/>
    <d v="2025-04-21T00:00:00"/>
    <x v="2"/>
  </r>
  <r>
    <s v="RCPT00419"/>
    <s v="176-10000419"/>
    <n v="1860"/>
    <d v="2025-04-08T00:00:00"/>
    <x v="2"/>
  </r>
  <r>
    <s v="RCPT00420"/>
    <s v="176-10000420"/>
    <n v="502"/>
    <d v="2025-02-23T00:00:00"/>
    <x v="1"/>
  </r>
  <r>
    <s v="RCPT00421"/>
    <s v="176-10000421"/>
    <n v="982"/>
    <d v="2025-03-12T00:00:00"/>
    <x v="4"/>
  </r>
  <r>
    <s v="RCPT00422"/>
    <s v="176-10000422"/>
    <n v="634"/>
    <d v="2025-01-14T00:00:00"/>
    <x v="0"/>
  </r>
  <r>
    <s v="RCPT00423"/>
    <s v="176-10000423"/>
    <n v="568"/>
    <d v="2025-04-28T00:00:00"/>
    <x v="1"/>
  </r>
  <r>
    <s v="RCPT00424"/>
    <s v="176-10000424"/>
    <n v="2390"/>
    <d v="2025-02-13T00:00:00"/>
    <x v="0"/>
  </r>
  <r>
    <s v="RCPT00425"/>
    <s v="176-10000425"/>
    <n v="1947"/>
    <d v="2025-04-13T00:00:00"/>
    <x v="3"/>
  </r>
  <r>
    <s v="RCPT00426"/>
    <s v="176-10000426"/>
    <n v="1330"/>
    <d v="2025-03-07T00:00:00"/>
    <x v="0"/>
  </r>
  <r>
    <s v="RCPT00427"/>
    <s v="176-10000427"/>
    <n v="2230"/>
    <d v="2025-04-01T00:00:00"/>
    <x v="2"/>
  </r>
  <r>
    <s v="RCPT00428"/>
    <s v="176-10000428"/>
    <n v="1112"/>
    <d v="2025-03-05T00:00:00"/>
    <x v="0"/>
  </r>
  <r>
    <s v="RCPT00429"/>
    <s v="176-10000429"/>
    <n v="1024"/>
    <d v="2025-03-24T00:00:00"/>
    <x v="1"/>
  </r>
  <r>
    <s v="RCPT00430"/>
    <s v="176-10000430"/>
    <n v="1592"/>
    <d v="2025-03-10T00:00:00"/>
    <x v="1"/>
  </r>
  <r>
    <s v="RCPT00431"/>
    <s v="176-10000431"/>
    <n v="780"/>
    <d v="2025-01-07T00:00:00"/>
    <x v="0"/>
  </r>
  <r>
    <s v="RCPT00432"/>
    <s v="176-10000432"/>
    <n v="1339"/>
    <d v="2025-02-17T00:00:00"/>
    <x v="1"/>
  </r>
  <r>
    <s v="RCPT00433"/>
    <s v="176-10000433"/>
    <n v="1604"/>
    <d v="2025-04-17T00:00:00"/>
    <x v="1"/>
  </r>
  <r>
    <s v="RCPT00434"/>
    <s v="176-10000434"/>
    <n v="2142"/>
    <d v="2025-03-17T00:00:00"/>
    <x v="0"/>
  </r>
  <r>
    <s v="RCPT00435"/>
    <s v="176-10000435"/>
    <n v="1293"/>
    <d v="2025-03-29T00:00:00"/>
    <x v="4"/>
  </r>
  <r>
    <s v="RCPT00436"/>
    <s v="176-10000436"/>
    <n v="2021"/>
    <d v="2025-03-01T00:00:00"/>
    <x v="4"/>
  </r>
  <r>
    <s v="RCPT00437"/>
    <s v="176-10000437"/>
    <n v="1216"/>
    <d v="2025-01-05T00:00:00"/>
    <x v="3"/>
  </r>
  <r>
    <s v="RCPT00438"/>
    <s v="176-10000438"/>
    <n v="572"/>
    <d v="2025-02-19T00:00:00"/>
    <x v="1"/>
  </r>
  <r>
    <s v="RCPT00439"/>
    <s v="176-10000439"/>
    <n v="751"/>
    <d v="2025-04-24T00:00:00"/>
    <x v="0"/>
  </r>
  <r>
    <s v="RCPT00440"/>
    <s v="176-10000440"/>
    <n v="621"/>
    <d v="2025-03-31T00:00:00"/>
    <x v="1"/>
  </r>
  <r>
    <s v="RCPT00441"/>
    <s v="176-10000441"/>
    <n v="1746"/>
    <d v="2025-02-14T00:00:00"/>
    <x v="2"/>
  </r>
  <r>
    <s v="RCPT00442"/>
    <s v="176-10000442"/>
    <n v="792"/>
    <d v="2025-01-09T00:00:00"/>
    <x v="1"/>
  </r>
  <r>
    <s v="RCPT00443"/>
    <s v="176-10000443"/>
    <n v="1113"/>
    <d v="2025-01-22T00:00:00"/>
    <x v="1"/>
  </r>
  <r>
    <s v="RCPT00444"/>
    <s v="176-10000444"/>
    <n v="1683"/>
    <d v="2025-04-15T00:00:00"/>
    <x v="4"/>
  </r>
  <r>
    <s v="RCPT00445"/>
    <s v="176-10000445"/>
    <n v="2168"/>
    <d v="2025-04-09T00:00:00"/>
    <x v="0"/>
  </r>
  <r>
    <s v="RCPT00446"/>
    <s v="176-10000446"/>
    <n v="1097"/>
    <d v="2025-04-08T00:00:00"/>
    <x v="1"/>
  </r>
  <r>
    <s v="RCPT00447"/>
    <s v="176-10000447"/>
    <n v="2024"/>
    <d v="2025-02-17T00:00:00"/>
    <x v="4"/>
  </r>
  <r>
    <s v="RCPT00448"/>
    <s v="176-10000448"/>
    <n v="407"/>
    <d v="2025-03-05T00:00:00"/>
    <x v="3"/>
  </r>
  <r>
    <s v="RCPT00449"/>
    <s v="176-10000449"/>
    <n v="1317"/>
    <d v="2025-01-12T00:00:00"/>
    <x v="4"/>
  </r>
  <r>
    <s v="RCPT00450"/>
    <s v="176-10000450"/>
    <n v="253"/>
    <d v="2025-03-14T00:00:00"/>
    <x v="4"/>
  </r>
  <r>
    <s v="RCPT00451"/>
    <s v="176-10000451"/>
    <n v="870"/>
    <d v="2025-01-01T00:00:00"/>
    <x v="4"/>
  </r>
  <r>
    <s v="RCPT00452"/>
    <s v="176-10000452"/>
    <n v="1139"/>
    <d v="2025-03-30T00:00:00"/>
    <x v="1"/>
  </r>
  <r>
    <s v="RCPT00453"/>
    <s v="176-10000453"/>
    <n v="823"/>
    <d v="2025-01-05T00:00:00"/>
    <x v="1"/>
  </r>
  <r>
    <s v="RCPT00454"/>
    <s v="176-10000454"/>
    <n v="1014"/>
    <d v="2025-01-01T00:00:00"/>
    <x v="3"/>
  </r>
  <r>
    <s v="RCPT00455"/>
    <s v="176-10000455"/>
    <n v="1707"/>
    <d v="2025-02-26T00:00:00"/>
    <x v="2"/>
  </r>
  <r>
    <s v="RCPT00456"/>
    <s v="176-10000456"/>
    <n v="1648"/>
    <d v="2025-02-20T00:00:00"/>
    <x v="2"/>
  </r>
  <r>
    <s v="RCPT00457"/>
    <s v="176-10000457"/>
    <n v="1072"/>
    <d v="2025-04-07T00:00:00"/>
    <x v="2"/>
  </r>
  <r>
    <s v="RCPT00458"/>
    <s v="176-10000458"/>
    <n v="1166"/>
    <d v="2025-03-20T00:00:00"/>
    <x v="3"/>
  </r>
  <r>
    <s v="RCPT00459"/>
    <s v="176-10000459"/>
    <n v="504"/>
    <d v="2025-03-15T00:00:00"/>
    <x v="2"/>
  </r>
  <r>
    <s v="RCPT00460"/>
    <s v="176-10000460"/>
    <n v="2118"/>
    <d v="2025-01-12T00:00:00"/>
    <x v="2"/>
  </r>
  <r>
    <s v="RCPT00461"/>
    <s v="176-10000461"/>
    <n v="2074"/>
    <d v="2025-01-28T00:00:00"/>
    <x v="4"/>
  </r>
  <r>
    <s v="RCPT00462"/>
    <s v="176-10000462"/>
    <n v="1499"/>
    <d v="2025-03-14T00:00:00"/>
    <x v="1"/>
  </r>
  <r>
    <s v="RCPT00463"/>
    <s v="176-10000463"/>
    <n v="845"/>
    <d v="2025-03-26T00:00:00"/>
    <x v="1"/>
  </r>
  <r>
    <s v="RCPT00464"/>
    <s v="176-10000464"/>
    <n v="2079"/>
    <d v="2025-03-04T00:00:00"/>
    <x v="4"/>
  </r>
  <r>
    <s v="RCPT00465"/>
    <s v="176-10000465"/>
    <n v="740"/>
    <d v="2025-04-23T00:00:00"/>
    <x v="4"/>
  </r>
  <r>
    <s v="RCPT00466"/>
    <s v="176-10000466"/>
    <n v="1516"/>
    <d v="2025-04-25T00:00:00"/>
    <x v="4"/>
  </r>
  <r>
    <s v="RCPT00467"/>
    <s v="176-10000467"/>
    <n v="1495"/>
    <d v="2025-01-08T00:00:00"/>
    <x v="1"/>
  </r>
  <r>
    <s v="RCPT00468"/>
    <s v="176-10000468"/>
    <n v="1333"/>
    <d v="2025-03-05T00:00:00"/>
    <x v="2"/>
  </r>
  <r>
    <s v="RCPT00469"/>
    <s v="176-10000469"/>
    <n v="1725"/>
    <d v="2025-02-19T00:00:00"/>
    <x v="4"/>
  </r>
  <r>
    <s v="RCPT00470"/>
    <s v="176-10000470"/>
    <n v="2246"/>
    <d v="2025-02-21T00:00:00"/>
    <x v="3"/>
  </r>
  <r>
    <s v="RCPT00471"/>
    <s v="176-10000471"/>
    <n v="1101"/>
    <d v="2025-02-02T00:00:00"/>
    <x v="4"/>
  </r>
  <r>
    <s v="RCPT00472"/>
    <s v="176-10000472"/>
    <n v="659"/>
    <d v="2025-01-26T00:00:00"/>
    <x v="0"/>
  </r>
  <r>
    <s v="RCPT00473"/>
    <s v="176-10000473"/>
    <n v="1911"/>
    <d v="2025-01-25T00:00:00"/>
    <x v="4"/>
  </r>
  <r>
    <s v="RCPT00474"/>
    <s v="176-10000474"/>
    <n v="1290"/>
    <d v="2025-02-11T00:00:00"/>
    <x v="1"/>
  </r>
  <r>
    <s v="RCPT00475"/>
    <s v="176-10000475"/>
    <n v="2243"/>
    <d v="2025-03-14T00:00:00"/>
    <x v="4"/>
  </r>
  <r>
    <s v="RCPT00476"/>
    <s v="176-10000476"/>
    <n v="557"/>
    <d v="2025-03-11T00:00:00"/>
    <x v="0"/>
  </r>
  <r>
    <s v="RCPT00477"/>
    <s v="176-10000477"/>
    <n v="1047"/>
    <d v="2025-02-17T00:00:00"/>
    <x v="3"/>
  </r>
  <r>
    <s v="RCPT00478"/>
    <s v="176-10000478"/>
    <n v="1697"/>
    <d v="2025-03-29T00:00:00"/>
    <x v="2"/>
  </r>
  <r>
    <s v="RCPT00479"/>
    <s v="176-10000479"/>
    <n v="528"/>
    <d v="2025-03-10T00:00:00"/>
    <x v="4"/>
  </r>
  <r>
    <s v="RCPT00480"/>
    <s v="176-10000480"/>
    <n v="1801"/>
    <d v="2025-01-22T00:00:00"/>
    <x v="0"/>
  </r>
  <r>
    <s v="RCPT00481"/>
    <s v="176-10000481"/>
    <n v="998"/>
    <d v="2025-04-25T00:00:00"/>
    <x v="0"/>
  </r>
  <r>
    <s v="RCPT00482"/>
    <s v="176-10000482"/>
    <n v="1668"/>
    <d v="2025-02-27T00:00:00"/>
    <x v="3"/>
  </r>
  <r>
    <s v="RCPT00483"/>
    <s v="176-10000483"/>
    <n v="2108"/>
    <d v="2025-04-05T00:00:00"/>
    <x v="1"/>
  </r>
  <r>
    <s v="RCPT00484"/>
    <s v="176-10000484"/>
    <n v="1547"/>
    <d v="2025-03-08T00:00:00"/>
    <x v="4"/>
  </r>
  <r>
    <s v="RCPT00485"/>
    <s v="176-10000485"/>
    <n v="981"/>
    <d v="2025-01-29T00:00:00"/>
    <x v="0"/>
  </r>
  <r>
    <s v="RCPT00486"/>
    <s v="176-10000486"/>
    <n v="1866"/>
    <d v="2025-02-22T00:00:00"/>
    <x v="3"/>
  </r>
  <r>
    <s v="RCPT00487"/>
    <s v="176-10000487"/>
    <n v="465"/>
    <d v="2025-01-18T00:00:00"/>
    <x v="2"/>
  </r>
  <r>
    <s v="RCPT00488"/>
    <s v="176-10000488"/>
    <n v="1362"/>
    <d v="2025-01-22T00:00:00"/>
    <x v="0"/>
  </r>
  <r>
    <s v="RCPT00489"/>
    <s v="176-10000489"/>
    <n v="2070"/>
    <d v="2025-04-18T00:00:00"/>
    <x v="3"/>
  </r>
  <r>
    <s v="RCPT00490"/>
    <s v="176-10000490"/>
    <n v="1103"/>
    <d v="2025-02-16T00:00:00"/>
    <x v="1"/>
  </r>
  <r>
    <s v="RCPT00491"/>
    <s v="176-10000491"/>
    <n v="1263"/>
    <d v="2025-02-22T00:00:00"/>
    <x v="1"/>
  </r>
  <r>
    <s v="RCPT00492"/>
    <s v="176-10000492"/>
    <n v="1824"/>
    <d v="2025-01-13T00:00:00"/>
    <x v="0"/>
  </r>
  <r>
    <s v="RCPT00493"/>
    <s v="176-10000493"/>
    <n v="600"/>
    <d v="2025-03-12T00:00:00"/>
    <x v="0"/>
  </r>
  <r>
    <s v="RCPT00494"/>
    <s v="176-10000494"/>
    <n v="1153"/>
    <d v="2025-04-15T00:00:00"/>
    <x v="4"/>
  </r>
  <r>
    <s v="RCPT00495"/>
    <s v="176-10000495"/>
    <n v="974"/>
    <d v="2025-04-25T00:00:00"/>
    <x v="3"/>
  </r>
  <r>
    <s v="RCPT00496"/>
    <s v="176-10000496"/>
    <n v="1954"/>
    <d v="2025-02-15T00:00:00"/>
    <x v="0"/>
  </r>
  <r>
    <s v="RCPT00497"/>
    <s v="176-10000497"/>
    <n v="1770"/>
    <d v="2025-01-21T00:00:00"/>
    <x v="4"/>
  </r>
  <r>
    <s v="RCPT00498"/>
    <s v="176-10000498"/>
    <n v="1313"/>
    <d v="2025-02-07T00:00:00"/>
    <x v="4"/>
  </r>
  <r>
    <s v="RCPT00499"/>
    <s v="176-10000499"/>
    <n v="768"/>
    <d v="2025-04-03T00:00:0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187"/>
    <n v="205"/>
    <x v="0"/>
  </r>
  <r>
    <x v="0"/>
    <x v="1"/>
    <n v="370"/>
    <n v="262"/>
    <x v="0"/>
  </r>
  <r>
    <x v="0"/>
    <x v="2"/>
    <n v="963"/>
    <n v="153"/>
    <x v="1"/>
  </r>
  <r>
    <x v="0"/>
    <x v="3"/>
    <n v="655"/>
    <n v="225"/>
    <x v="0"/>
  </r>
  <r>
    <x v="1"/>
    <x v="0"/>
    <n v="812"/>
    <n v="204"/>
    <x v="0"/>
  </r>
  <r>
    <x v="1"/>
    <x v="1"/>
    <n v="650"/>
    <n v="157"/>
    <x v="0"/>
  </r>
  <r>
    <x v="1"/>
    <x v="2"/>
    <n v="209"/>
    <n v="277"/>
    <x v="0"/>
  </r>
  <r>
    <x v="1"/>
    <x v="3"/>
    <n v="959"/>
    <n v="296"/>
    <x v="1"/>
  </r>
  <r>
    <x v="2"/>
    <x v="0"/>
    <n v="698"/>
    <n v="178"/>
    <x v="0"/>
  </r>
  <r>
    <x v="2"/>
    <x v="1"/>
    <n v="804"/>
    <n v="120"/>
    <x v="0"/>
  </r>
  <r>
    <x v="2"/>
    <x v="2"/>
    <n v="1179"/>
    <n v="197"/>
    <x v="1"/>
  </r>
  <r>
    <x v="2"/>
    <x v="3"/>
    <n v="874"/>
    <n v="148"/>
    <x v="1"/>
  </r>
  <r>
    <x v="3"/>
    <x v="0"/>
    <n v="802"/>
    <n v="139"/>
    <x v="0"/>
  </r>
  <r>
    <x v="3"/>
    <x v="1"/>
    <n v="473"/>
    <n v="222"/>
    <x v="0"/>
  </r>
  <r>
    <x v="3"/>
    <x v="2"/>
    <n v="1179"/>
    <n v="230"/>
    <x v="0"/>
  </r>
  <r>
    <x v="3"/>
    <x v="3"/>
    <n v="523"/>
    <n v="242"/>
    <x v="0"/>
  </r>
  <r>
    <x v="4"/>
    <x v="0"/>
    <n v="257"/>
    <n v="203"/>
    <x v="1"/>
  </r>
  <r>
    <x v="4"/>
    <x v="1"/>
    <n v="827"/>
    <n v="136"/>
    <x v="0"/>
  </r>
  <r>
    <x v="4"/>
    <x v="2"/>
    <n v="914"/>
    <n v="90"/>
    <x v="0"/>
  </r>
  <r>
    <x v="4"/>
    <x v="3"/>
    <n v="1089"/>
    <n v="242"/>
    <x v="0"/>
  </r>
  <r>
    <x v="5"/>
    <x v="0"/>
    <n v="553"/>
    <n v="297"/>
    <x v="0"/>
  </r>
  <r>
    <x v="5"/>
    <x v="1"/>
    <n v="932"/>
    <n v="117"/>
    <x v="0"/>
  </r>
  <r>
    <x v="5"/>
    <x v="2"/>
    <n v="850"/>
    <n v="105"/>
    <x v="0"/>
  </r>
  <r>
    <x v="5"/>
    <x v="3"/>
    <n v="298"/>
    <n v="125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176-10000001"/>
    <s v="DXB-CGK"/>
    <x v="0"/>
    <x v="0"/>
    <n v="1416"/>
    <n v="51"/>
    <s v="USD"/>
    <x v="0"/>
    <d v="2025-01-13T00:00:00"/>
    <n v="1381.1470770737874"/>
    <d v="2025-02-09T00:00:00"/>
    <x v="0"/>
  </r>
  <r>
    <s v="176-10000002"/>
    <s v="DXB-JFK"/>
    <x v="0"/>
    <x v="1"/>
    <n v="1666"/>
    <n v="342"/>
    <s v="USD"/>
    <x v="1"/>
    <d v="2025-03-14T00:00:00"/>
    <n v="1418.2162377784941"/>
    <d v="2025-04-07T00:00:00"/>
    <x v="0"/>
  </r>
  <r>
    <s v="176-10000007"/>
    <s v="DXB-JFK"/>
    <x v="0"/>
    <x v="0"/>
    <n v="974"/>
    <n v="160"/>
    <s v="USD"/>
    <x v="1"/>
    <d v="2025-04-23T00:00:00"/>
    <n v="632.1514256074089"/>
    <d v="2025-05-14T00:00:00"/>
    <x v="1"/>
  </r>
  <r>
    <s v="176-10000011"/>
    <s v="DXB-JFK"/>
    <x v="1"/>
    <x v="0"/>
    <n v="655"/>
    <n v="179"/>
    <s v="USD"/>
    <x v="1"/>
    <d v="2025-02-25T00:00:00"/>
    <n v="362.00701203715545"/>
    <d v="2025-02-28T00:00:00"/>
    <x v="0"/>
  </r>
  <r>
    <s v="176-10000015"/>
    <s v="DXB-MAA"/>
    <x v="2"/>
    <x v="0"/>
    <n v="1946"/>
    <n v="394"/>
    <s v="USD"/>
    <x v="1"/>
    <d v="2025-04-25T00:00:00"/>
    <n v="1733.7146190346225"/>
    <d v="2025-05-19T00:00:00"/>
    <x v="1"/>
  </r>
  <r>
    <s v="176-10000025"/>
    <s v="DXB-CGK"/>
    <x v="1"/>
    <x v="0"/>
    <n v="1663"/>
    <n v="59"/>
    <s v="USD"/>
    <x v="1"/>
    <d v="2025-03-29T00:00:00"/>
    <n v="1367.1100776572241"/>
    <d v="2025-04-16T00:00:00"/>
    <x v="2"/>
  </r>
  <r>
    <s v="176-10000027"/>
    <s v="DXB-NBO"/>
    <x v="0"/>
    <x v="1"/>
    <n v="839"/>
    <n v="167"/>
    <s v="USD"/>
    <x v="0"/>
    <d v="2025-02-06T00:00:00"/>
    <n v="439.71403219898775"/>
    <d v="2025-03-13T00:00:00"/>
    <x v="2"/>
  </r>
  <r>
    <s v="176-10000035"/>
    <s v="DXB-BOM"/>
    <x v="1"/>
    <x v="1"/>
    <n v="930"/>
    <n v="182"/>
    <s v="USD"/>
    <x v="1"/>
    <d v="2025-04-03T00:00:00"/>
    <n v="632.42346664395495"/>
    <d v="2025-04-12T00:00:00"/>
    <x v="1"/>
  </r>
  <r>
    <s v="176-10000037"/>
    <s v="DXB-JFK"/>
    <x v="2"/>
    <x v="0"/>
    <n v="1042"/>
    <n v="313"/>
    <s v="USD"/>
    <x v="0"/>
    <d v="2025-03-19T00:00:00"/>
    <n v="1019.492703867313"/>
    <d v="2025-04-11T00:00:00"/>
    <x v="3"/>
  </r>
  <r>
    <s v="176-10000047"/>
    <s v="DXB-MAA"/>
    <x v="3"/>
    <x v="0"/>
    <n v="784"/>
    <n v="214"/>
    <s v="USD"/>
    <x v="2"/>
    <d v="2025-04-22T00:00:00"/>
    <n v="588.15724911839891"/>
    <d v="2025-04-26T00:00:00"/>
    <x v="2"/>
  </r>
  <r>
    <s v="176-10000048"/>
    <s v="DXB-NBO"/>
    <x v="3"/>
    <x v="0"/>
    <n v="1137"/>
    <n v="354"/>
    <s v="USD"/>
    <x v="1"/>
    <d v="2025-03-15T00:00:00"/>
    <n v="814.50651382720207"/>
    <d v="2025-04-29T00:00:00"/>
    <x v="0"/>
  </r>
  <r>
    <s v="176-10000049"/>
    <s v="DXB-MAA"/>
    <x v="1"/>
    <x v="0"/>
    <n v="1714"/>
    <n v="169"/>
    <s v="USD"/>
    <x v="2"/>
    <d v="2025-04-18T00:00:00"/>
    <n v="1249.2485616215151"/>
    <d v="2025-05-25T00:00:00"/>
    <x v="1"/>
  </r>
  <r>
    <s v="176-10000050"/>
    <s v="DXB-BOM"/>
    <x v="0"/>
    <x v="0"/>
    <n v="1822"/>
    <n v="93"/>
    <s v="USD"/>
    <x v="1"/>
    <d v="2025-05-01T00:00:00"/>
    <n v="1101.2921615687042"/>
    <d v="2025-06-09T00:00:00"/>
    <x v="0"/>
  </r>
  <r>
    <s v="176-10000053"/>
    <s v="DXB-NBO"/>
    <x v="3"/>
    <x v="1"/>
    <n v="887"/>
    <n v="256"/>
    <s v="USD"/>
    <x v="3"/>
    <d v="2025-03-05T00:00:00"/>
    <n v="607.02163027853669"/>
    <d v="2025-03-29T00:00:00"/>
    <x v="0"/>
  </r>
  <r>
    <s v="176-10000059"/>
    <s v="DXB-MAA"/>
    <x v="3"/>
    <x v="0"/>
    <n v="1710"/>
    <n v="69"/>
    <s v="USD"/>
    <x v="1"/>
    <d v="2025-01-05T00:00:00"/>
    <n v="1171.1903338690358"/>
    <d v="2025-01-08T00:00:00"/>
    <x v="3"/>
  </r>
  <r>
    <s v="176-10000062"/>
    <s v="DXB-JFK"/>
    <x v="2"/>
    <x v="0"/>
    <n v="1104"/>
    <n v="50"/>
    <s v="USD"/>
    <x v="2"/>
    <d v="2025-04-15T00:00:00"/>
    <n v="580.89997114348478"/>
    <d v="2025-05-03T00:00:00"/>
    <x v="0"/>
  </r>
  <r>
    <s v="176-10000067"/>
    <s v="DXB-MAA"/>
    <x v="3"/>
    <x v="0"/>
    <n v="187"/>
    <n v="108"/>
    <s v="USD"/>
    <x v="4"/>
    <d v="2025-01-14T00:00:00"/>
    <n v="165.26757326642536"/>
    <d v="2025-02-12T00:00:00"/>
    <x v="3"/>
  </r>
  <r>
    <s v="176-10000069"/>
    <s v="DXB-BOM"/>
    <x v="0"/>
    <x v="2"/>
    <n v="1424"/>
    <n v="210"/>
    <s v="USD"/>
    <x v="4"/>
    <d v="2025-04-16T00:00:00"/>
    <n v="1008.551155515562"/>
    <d v="2025-05-15T00:00:00"/>
    <x v="2"/>
  </r>
  <r>
    <s v="176-10000071"/>
    <s v="DXB-BOM"/>
    <x v="0"/>
    <x v="0"/>
    <n v="1775"/>
    <n v="255"/>
    <s v="USD"/>
    <x v="3"/>
    <d v="2025-03-07T00:00:00"/>
    <n v="1617.1846495495756"/>
    <d v="2025-03-18T00:00:00"/>
    <x v="1"/>
  </r>
  <r>
    <s v="176-10000072"/>
    <s v="DXB-LHR"/>
    <x v="0"/>
    <x v="0"/>
    <n v="1063"/>
    <n v="61"/>
    <s v="USD"/>
    <x v="0"/>
    <d v="2025-01-01T00:00:00"/>
    <n v="983.4599625952244"/>
    <d v="2025-02-11T00:00:00"/>
    <x v="0"/>
  </r>
  <r>
    <s v="176-10000073"/>
    <s v="DXB-MAA"/>
    <x v="2"/>
    <x v="0"/>
    <n v="603"/>
    <n v="325"/>
    <s v="USD"/>
    <x v="1"/>
    <d v="2025-02-28T00:00:00"/>
    <n v="365.41620749164542"/>
    <d v="2025-03-11T00:00:00"/>
    <x v="1"/>
  </r>
  <r>
    <s v="176-10000075"/>
    <s v="DXB-CGK"/>
    <x v="2"/>
    <x v="0"/>
    <n v="1489"/>
    <n v="291"/>
    <s v="USD"/>
    <x v="1"/>
    <d v="2025-01-25T00:00:00"/>
    <n v="1233.8996674756606"/>
    <d v="2025-03-08T00:00:00"/>
    <x v="0"/>
  </r>
  <r>
    <s v="176-10000078"/>
    <s v="DXB-MAA"/>
    <x v="3"/>
    <x v="0"/>
    <n v="945"/>
    <n v="348"/>
    <s v="USD"/>
    <x v="1"/>
    <d v="2025-02-20T00:00:00"/>
    <n v="695.65315246700891"/>
    <d v="2025-03-21T00:00:00"/>
    <x v="1"/>
  </r>
  <r>
    <s v="176-10000080"/>
    <s v="DXB-LHR"/>
    <x v="3"/>
    <x v="0"/>
    <n v="742"/>
    <n v="266"/>
    <s v="USD"/>
    <x v="3"/>
    <d v="2025-04-30T00:00:00"/>
    <n v="697.53814976887099"/>
    <d v="2025-05-03T00:00:00"/>
    <x v="0"/>
  </r>
  <r>
    <s v="176-10000094"/>
    <s v="DXB-MAA"/>
    <x v="1"/>
    <x v="0"/>
    <n v="1462"/>
    <n v="385"/>
    <s v="USD"/>
    <x v="4"/>
    <d v="2025-04-05T00:00:00"/>
    <n v="888.70643647798784"/>
    <d v="2025-05-14T00:00:00"/>
    <x v="0"/>
  </r>
  <r>
    <s v="176-10000095"/>
    <s v="DXB-MAA"/>
    <x v="2"/>
    <x v="0"/>
    <n v="1435"/>
    <n v="283"/>
    <s v="USD"/>
    <x v="4"/>
    <d v="2025-02-16T00:00:00"/>
    <n v="1203.8309712224566"/>
    <d v="2025-03-21T00:00:00"/>
    <x v="0"/>
  </r>
  <r>
    <s v="176-10000098"/>
    <s v="DXB-NBO"/>
    <x v="1"/>
    <x v="0"/>
    <n v="485"/>
    <n v="178"/>
    <s v="USD"/>
    <x v="4"/>
    <d v="2025-04-20T00:00:00"/>
    <n v="389.87988964628528"/>
    <d v="2025-05-04T00:00:00"/>
    <x v="0"/>
  </r>
  <r>
    <s v="176-10000102"/>
    <s v="DXB-NBO"/>
    <x v="2"/>
    <x v="0"/>
    <n v="720"/>
    <n v="135"/>
    <s v="USD"/>
    <x v="2"/>
    <d v="2025-04-01T00:00:00"/>
    <n v="466.30853192585982"/>
    <d v="2025-04-18T00:00:00"/>
    <x v="0"/>
  </r>
  <r>
    <s v="176-10000105"/>
    <s v="DXB-MAA"/>
    <x v="2"/>
    <x v="0"/>
    <n v="1854"/>
    <n v="242"/>
    <s v="USD"/>
    <x v="3"/>
    <d v="2025-02-26T00:00:00"/>
    <n v="1053.6290376846371"/>
    <d v="2025-04-03T00:00:00"/>
    <x v="0"/>
  </r>
  <r>
    <s v="176-10000106"/>
    <s v="DXB-JFK"/>
    <x v="0"/>
    <x v="0"/>
    <n v="930"/>
    <n v="360"/>
    <s v="USD"/>
    <x v="3"/>
    <d v="2025-01-29T00:00:00"/>
    <n v="768.01248862193358"/>
    <d v="2025-02-05T00:00:00"/>
    <x v="0"/>
  </r>
  <r>
    <s v="176-10000109"/>
    <s v="DXB-JFK"/>
    <x v="1"/>
    <x v="0"/>
    <n v="1518"/>
    <n v="163"/>
    <s v="USD"/>
    <x v="4"/>
    <d v="2025-04-21T00:00:00"/>
    <n v="1319.5954707224389"/>
    <d v="2025-04-28T00:00:00"/>
    <x v="0"/>
  </r>
  <r>
    <s v="176-10000113"/>
    <s v="DXB-CGK"/>
    <x v="2"/>
    <x v="2"/>
    <n v="340"/>
    <n v="352"/>
    <s v="USD"/>
    <x v="3"/>
    <d v="2025-01-28T00:00:00"/>
    <n v="223.65664843976947"/>
    <d v="2025-02-22T00:00:00"/>
    <x v="0"/>
  </r>
  <r>
    <s v="176-10000115"/>
    <s v="DXB-LHR"/>
    <x v="2"/>
    <x v="1"/>
    <n v="571"/>
    <n v="125"/>
    <s v="USD"/>
    <x v="3"/>
    <d v="2025-01-11T00:00:00"/>
    <n v="469.59970844837056"/>
    <d v="2025-02-08T00:00:00"/>
    <x v="1"/>
  </r>
  <r>
    <s v="176-10000116"/>
    <s v="DXB-NBO"/>
    <x v="3"/>
    <x v="0"/>
    <n v="849"/>
    <n v="377"/>
    <s v="USD"/>
    <x v="2"/>
    <d v="2025-01-08T00:00:00"/>
    <n v="592.23307028108309"/>
    <d v="2025-01-27T00:00:00"/>
    <x v="3"/>
  </r>
  <r>
    <s v="176-10000122"/>
    <s v="DXB-BOM"/>
    <x v="1"/>
    <x v="0"/>
    <n v="910"/>
    <n v="336"/>
    <s v="USD"/>
    <x v="4"/>
    <d v="2025-03-03T00:00:00"/>
    <n v="779.50913189359107"/>
    <d v="2025-03-27T00:00:00"/>
    <x v="0"/>
  </r>
  <r>
    <s v="176-10000124"/>
    <s v="DXB-JFK"/>
    <x v="0"/>
    <x v="1"/>
    <n v="684"/>
    <n v="102"/>
    <s v="USD"/>
    <x v="1"/>
    <d v="2025-04-15T00:00:00"/>
    <n v="410.1316240137661"/>
    <d v="2025-05-06T00:00:00"/>
    <x v="3"/>
  </r>
  <r>
    <s v="176-10000136"/>
    <s v="DXB-LHR"/>
    <x v="2"/>
    <x v="0"/>
    <n v="738"/>
    <n v="318"/>
    <s v="USD"/>
    <x v="2"/>
    <d v="2025-02-14T00:00:00"/>
    <n v="697.48933597274834"/>
    <d v="2025-02-20T00:00:00"/>
    <x v="0"/>
  </r>
  <r>
    <s v="176-10000148"/>
    <s v="DXB-MAA"/>
    <x v="2"/>
    <x v="0"/>
    <n v="1015"/>
    <n v="328"/>
    <s v="USD"/>
    <x v="3"/>
    <d v="2025-01-03T00:00:00"/>
    <n v="653.3603702062818"/>
    <d v="2025-01-13T00:00:00"/>
    <x v="0"/>
  </r>
  <r>
    <s v="176-10000162"/>
    <s v="DXB-CGK"/>
    <x v="0"/>
    <x v="0"/>
    <n v="1143"/>
    <n v="142"/>
    <s v="USD"/>
    <x v="2"/>
    <d v="2025-02-07T00:00:00"/>
    <n v="781.68969200264144"/>
    <d v="2025-03-04T00:00:00"/>
    <x v="1"/>
  </r>
  <r>
    <s v="176-10000166"/>
    <s v="DXB-BOM"/>
    <x v="2"/>
    <x v="1"/>
    <n v="1395"/>
    <n v="151"/>
    <s v="USD"/>
    <x v="0"/>
    <d v="2025-03-23T00:00:00"/>
    <n v="738.01913657604393"/>
    <d v="2025-04-10T00:00:00"/>
    <x v="2"/>
  </r>
  <r>
    <s v="176-10000173"/>
    <s v="DXB-BOM"/>
    <x v="2"/>
    <x v="0"/>
    <n v="1415"/>
    <n v="331"/>
    <s v="USD"/>
    <x v="1"/>
    <d v="2025-02-21T00:00:00"/>
    <n v="786.3948902173031"/>
    <d v="2025-03-02T00:00:00"/>
    <x v="2"/>
  </r>
  <r>
    <s v="176-10000176"/>
    <s v="DXB-MAA"/>
    <x v="1"/>
    <x v="0"/>
    <n v="341"/>
    <n v="166"/>
    <s v="USD"/>
    <x v="4"/>
    <d v="2025-03-20T00:00:00"/>
    <n v="258.45445441245192"/>
    <d v="2025-04-27T00:00:00"/>
    <x v="1"/>
  </r>
  <r>
    <s v="176-10000182"/>
    <s v="DXB-JFK"/>
    <x v="3"/>
    <x v="1"/>
    <n v="854"/>
    <n v="353"/>
    <s v="USD"/>
    <x v="2"/>
    <d v="2025-04-09T00:00:00"/>
    <n v="541.26207296284383"/>
    <d v="2025-04-30T00:00:00"/>
    <x v="3"/>
  </r>
  <r>
    <s v="176-10000186"/>
    <s v="DXB-CGK"/>
    <x v="3"/>
    <x v="1"/>
    <n v="359"/>
    <n v="320"/>
    <s v="USD"/>
    <x v="1"/>
    <d v="2025-01-21T00:00:00"/>
    <n v="329.46870052072387"/>
    <d v="2025-01-23T00:00:00"/>
    <x v="2"/>
  </r>
  <r>
    <s v="176-10000187"/>
    <s v="DXB-NBO"/>
    <x v="1"/>
    <x v="0"/>
    <n v="455"/>
    <n v="92"/>
    <s v="USD"/>
    <x v="4"/>
    <d v="2025-01-29T00:00:00"/>
    <n v="230.842745919002"/>
    <d v="2025-02-01T00:00:00"/>
    <x v="1"/>
  </r>
  <r>
    <s v="176-10000188"/>
    <s v="DXB-JFK"/>
    <x v="0"/>
    <x v="0"/>
    <n v="1443"/>
    <n v="392"/>
    <s v="USD"/>
    <x v="3"/>
    <d v="2025-01-01T00:00:00"/>
    <n v="995.01635611680183"/>
    <d v="2025-02-08T00:00:00"/>
    <x v="1"/>
  </r>
  <r>
    <s v="176-10000202"/>
    <s v="DXB-NBO"/>
    <x v="3"/>
    <x v="0"/>
    <n v="1206"/>
    <n v="373"/>
    <s v="USD"/>
    <x v="3"/>
    <d v="2025-03-20T00:00:00"/>
    <n v="806.4193647017629"/>
    <d v="2025-05-04T00:00:00"/>
    <x v="2"/>
  </r>
  <r>
    <s v="176-10000206"/>
    <s v="DXB-MAA"/>
    <x v="2"/>
    <x v="0"/>
    <n v="1096"/>
    <n v="339"/>
    <s v="USD"/>
    <x v="2"/>
    <d v="2025-02-01T00:00:00"/>
    <n v="558.59154174284527"/>
    <d v="2025-02-04T00:00:00"/>
    <x v="3"/>
  </r>
  <r>
    <s v="176-10000213"/>
    <s v="DXB-NBO"/>
    <x v="1"/>
    <x v="1"/>
    <n v="1458"/>
    <n v="340"/>
    <s v="USD"/>
    <x v="3"/>
    <d v="2025-02-13T00:00:00"/>
    <n v="819.66456287137191"/>
    <d v="2025-03-23T00:00:00"/>
    <x v="1"/>
  </r>
  <r>
    <s v="176-10000215"/>
    <s v="DXB-JFK"/>
    <x v="2"/>
    <x v="2"/>
    <n v="1272"/>
    <n v="193"/>
    <s v="USD"/>
    <x v="4"/>
    <d v="2025-01-07T00:00:00"/>
    <n v="899.07674124825201"/>
    <d v="2025-02-08T00:00:00"/>
    <x v="0"/>
  </r>
  <r>
    <s v="176-10000218"/>
    <s v="DXB-LHR"/>
    <x v="0"/>
    <x v="2"/>
    <n v="188"/>
    <n v="195"/>
    <s v="USD"/>
    <x v="1"/>
    <d v="2025-01-06T00:00:00"/>
    <n v="140.32927093805998"/>
    <d v="2025-01-12T00:00:00"/>
    <x v="3"/>
  </r>
  <r>
    <s v="176-10000233"/>
    <s v="DXB-JFK"/>
    <x v="1"/>
    <x v="2"/>
    <n v="1880"/>
    <n v="347"/>
    <s v="USD"/>
    <x v="3"/>
    <d v="2025-02-21T00:00:00"/>
    <n v="1320.0323624195769"/>
    <d v="2025-04-02T00:00:00"/>
    <x v="3"/>
  </r>
  <r>
    <s v="176-10000239"/>
    <s v="DXB-BOM"/>
    <x v="2"/>
    <x v="0"/>
    <n v="1138"/>
    <n v="222"/>
    <s v="USD"/>
    <x v="4"/>
    <d v="2025-04-30T00:00:00"/>
    <n v="871.10353901648136"/>
    <d v="2025-05-16T00:00:00"/>
    <x v="2"/>
  </r>
  <r>
    <s v="176-10000241"/>
    <s v="DXB-JFK"/>
    <x v="2"/>
    <x v="0"/>
    <n v="452"/>
    <n v="190"/>
    <s v="USD"/>
    <x v="2"/>
    <d v="2025-02-25T00:00:00"/>
    <n v="360.49975852868403"/>
    <d v="2025-03-13T00:00:00"/>
    <x v="2"/>
  </r>
  <r>
    <s v="176-10000242"/>
    <s v="DXB-NBO"/>
    <x v="3"/>
    <x v="0"/>
    <n v="1018"/>
    <n v="167"/>
    <s v="USD"/>
    <x v="0"/>
    <d v="2025-01-07T00:00:00"/>
    <n v="514.05122495406829"/>
    <d v="2025-02-21T00:00:00"/>
    <x v="0"/>
  </r>
  <r>
    <s v="176-10000243"/>
    <s v="DXB-NBO"/>
    <x v="1"/>
    <x v="0"/>
    <n v="233"/>
    <n v="326"/>
    <s v="USD"/>
    <x v="0"/>
    <d v="2025-04-27T00:00:00"/>
    <n v="170.5670860763332"/>
    <d v="2025-05-14T00:00:00"/>
    <x v="1"/>
  </r>
  <r>
    <s v="176-10000244"/>
    <s v="DXB-MAA"/>
    <x v="0"/>
    <x v="2"/>
    <n v="1947"/>
    <n v="263"/>
    <s v="USD"/>
    <x v="2"/>
    <d v="2025-01-04T00:00:00"/>
    <n v="1911.4665110040671"/>
    <d v="2025-01-07T00:00:00"/>
    <x v="2"/>
  </r>
  <r>
    <s v="176-10000256"/>
    <s v="DXB-JFK"/>
    <x v="1"/>
    <x v="0"/>
    <n v="942"/>
    <n v="98"/>
    <s v="USD"/>
    <x v="0"/>
    <d v="2025-01-29T00:00:00"/>
    <n v="715.46420394101744"/>
    <d v="2025-03-13T00:00:00"/>
    <x v="2"/>
  </r>
  <r>
    <s v="176-10000270"/>
    <s v="DXB-JFK"/>
    <x v="2"/>
    <x v="0"/>
    <n v="1482"/>
    <n v="213"/>
    <s v="USD"/>
    <x v="0"/>
    <d v="2025-02-14T00:00:00"/>
    <n v="1243.0588201870842"/>
    <d v="2025-03-26T00:00:00"/>
    <x v="3"/>
  </r>
  <r>
    <s v="176-10000277"/>
    <s v="DXB-LHR"/>
    <x v="3"/>
    <x v="2"/>
    <n v="536"/>
    <n v="210"/>
    <s v="USD"/>
    <x v="0"/>
    <d v="2025-01-19T00:00:00"/>
    <n v="351.5795139217247"/>
    <d v="2025-02-10T00:00:00"/>
    <x v="2"/>
  </r>
  <r>
    <s v="176-10000284"/>
    <s v="DXB-NBO"/>
    <x v="0"/>
    <x v="1"/>
    <n v="1065"/>
    <n v="60"/>
    <s v="USD"/>
    <x v="1"/>
    <d v="2025-04-17T00:00:00"/>
    <n v="944.65040886634608"/>
    <d v="2025-05-20T00:00:00"/>
    <x v="2"/>
  </r>
  <r>
    <s v="176-10000287"/>
    <s v="DXB-JFK"/>
    <x v="2"/>
    <x v="0"/>
    <n v="1326"/>
    <n v="126"/>
    <s v="USD"/>
    <x v="4"/>
    <d v="2025-01-05T00:00:00"/>
    <n v="1175.4469424838644"/>
    <d v="2025-01-08T00:00:00"/>
    <x v="2"/>
  </r>
  <r>
    <s v="176-10000289"/>
    <s v="DXB-MAA"/>
    <x v="2"/>
    <x v="0"/>
    <n v="355"/>
    <n v="307"/>
    <s v="USD"/>
    <x v="4"/>
    <d v="2025-01-08T00:00:00"/>
    <n v="270.03004845860966"/>
    <d v="2025-02-07T00:00:00"/>
    <x v="2"/>
  </r>
  <r>
    <s v="176-10000291"/>
    <s v="DXB-NBO"/>
    <x v="0"/>
    <x v="0"/>
    <n v="1446"/>
    <n v="340"/>
    <s v="USD"/>
    <x v="1"/>
    <d v="2025-03-19T00:00:00"/>
    <n v="1428.6579942308715"/>
    <d v="2025-04-08T00:00:00"/>
    <x v="3"/>
  </r>
  <r>
    <s v="176-10000293"/>
    <s v="DXB-JFK"/>
    <x v="1"/>
    <x v="0"/>
    <n v="1913"/>
    <n v="134"/>
    <s v="USD"/>
    <x v="4"/>
    <d v="2025-03-23T00:00:00"/>
    <n v="1076.5887804204781"/>
    <d v="2025-04-09T00:00:00"/>
    <x v="0"/>
  </r>
  <r>
    <s v="176-10000294"/>
    <s v="DXB-NBO"/>
    <x v="1"/>
    <x v="0"/>
    <n v="670"/>
    <n v="195"/>
    <s v="USD"/>
    <x v="1"/>
    <d v="2025-01-08T00:00:00"/>
    <n v="340.67746773800963"/>
    <d v="2025-02-06T00:00:00"/>
    <x v="0"/>
  </r>
  <r>
    <s v="176-10000296"/>
    <s v="DXB-BOM"/>
    <x v="1"/>
    <x v="0"/>
    <n v="1166"/>
    <n v="91"/>
    <s v="USD"/>
    <x v="1"/>
    <d v="2025-03-09T00:00:00"/>
    <n v="1032.0022374543871"/>
    <d v="2025-04-12T00:00:00"/>
    <x v="1"/>
  </r>
  <r>
    <s v="176-10000304"/>
    <s v="DXB-CGK"/>
    <x v="0"/>
    <x v="0"/>
    <n v="733"/>
    <n v="117"/>
    <s v="USD"/>
    <x v="1"/>
    <d v="2025-01-25T00:00:00"/>
    <n v="662.32250444422948"/>
    <d v="2025-02-16T00:00:00"/>
    <x v="2"/>
  </r>
  <r>
    <s v="176-10000305"/>
    <s v="DXB-LHR"/>
    <x v="1"/>
    <x v="1"/>
    <n v="544"/>
    <n v="267"/>
    <s v="USD"/>
    <x v="0"/>
    <d v="2025-04-24T00:00:00"/>
    <n v="304.69636632079676"/>
    <d v="2025-05-21T00:00:00"/>
    <x v="3"/>
  </r>
  <r>
    <s v="176-10000313"/>
    <s v="DXB-MAA"/>
    <x v="1"/>
    <x v="1"/>
    <n v="487"/>
    <n v="278"/>
    <s v="USD"/>
    <x v="2"/>
    <d v="2025-03-14T00:00:00"/>
    <n v="308.16941982542056"/>
    <d v="2025-04-08T00:00:00"/>
    <x v="1"/>
  </r>
  <r>
    <s v="176-10000322"/>
    <s v="DXB-NBO"/>
    <x v="1"/>
    <x v="0"/>
    <n v="950"/>
    <n v="179"/>
    <s v="USD"/>
    <x v="3"/>
    <d v="2025-03-12T00:00:00"/>
    <n v="483.33737259914881"/>
    <d v="2025-04-03T00:00:00"/>
    <x v="1"/>
  </r>
  <r>
    <s v="176-10000323"/>
    <s v="DXB-MAA"/>
    <x v="3"/>
    <x v="0"/>
    <n v="251"/>
    <n v="54"/>
    <s v="USD"/>
    <x v="0"/>
    <d v="2025-02-15T00:00:00"/>
    <n v="162.31023065296088"/>
    <d v="2025-02-24T00:00:00"/>
    <x v="0"/>
  </r>
  <r>
    <s v="176-10000333"/>
    <s v="DXB-JFK"/>
    <x v="2"/>
    <x v="0"/>
    <n v="1038"/>
    <n v="107"/>
    <s v="USD"/>
    <x v="2"/>
    <d v="2025-03-27T00:00:00"/>
    <n v="920.26063256379052"/>
    <d v="2025-04-24T00:00:00"/>
    <x v="3"/>
  </r>
  <r>
    <s v="176-10000334"/>
    <s v="DXB-BOM"/>
    <x v="1"/>
    <x v="0"/>
    <n v="1219"/>
    <n v="308"/>
    <s v="USD"/>
    <x v="3"/>
    <d v="2025-03-27T00:00:00"/>
    <n v="925.19694164081682"/>
    <d v="2025-05-09T00:00:00"/>
    <x v="3"/>
  </r>
  <r>
    <s v="176-10000337"/>
    <s v="DXB-LHR"/>
    <x v="3"/>
    <x v="0"/>
    <n v="741"/>
    <n v="179"/>
    <s v="USD"/>
    <x v="3"/>
    <d v="2025-01-03T00:00:00"/>
    <n v="499.46941726885075"/>
    <d v="2025-01-28T00:00:00"/>
    <x v="3"/>
  </r>
  <r>
    <s v="176-10000339"/>
    <s v="DXB-BOM"/>
    <x v="0"/>
    <x v="1"/>
    <n v="1259"/>
    <n v="221"/>
    <s v="USD"/>
    <x v="0"/>
    <d v="2025-03-21T00:00:00"/>
    <n v="863.50988614353491"/>
    <d v="2025-05-02T00:00:00"/>
    <x v="0"/>
  </r>
  <r>
    <s v="176-10000341"/>
    <s v="DXB-MAA"/>
    <x v="0"/>
    <x v="0"/>
    <n v="1833"/>
    <n v="151"/>
    <s v="USD"/>
    <x v="0"/>
    <d v="2025-03-20T00:00:00"/>
    <n v="917.74059796822667"/>
    <d v="2025-04-03T00:00:00"/>
    <x v="0"/>
  </r>
  <r>
    <s v="176-10000343"/>
    <s v="DXB-CGK"/>
    <x v="2"/>
    <x v="0"/>
    <n v="863"/>
    <n v="340"/>
    <s v="USD"/>
    <x v="2"/>
    <d v="2025-04-15T00:00:00"/>
    <n v="560.86392764439927"/>
    <d v="2025-04-28T00:00:00"/>
    <x v="0"/>
  </r>
  <r>
    <s v="176-10000344"/>
    <s v="DXB-MAA"/>
    <x v="3"/>
    <x v="0"/>
    <n v="1085"/>
    <n v="335"/>
    <s v="USD"/>
    <x v="4"/>
    <d v="2025-04-28T00:00:00"/>
    <n v="893.20386733857731"/>
    <d v="2025-05-10T00:00:00"/>
    <x v="0"/>
  </r>
  <r>
    <s v="176-10000347"/>
    <s v="DXB-MAA"/>
    <x v="1"/>
    <x v="0"/>
    <n v="374"/>
    <n v="199"/>
    <s v="USD"/>
    <x v="0"/>
    <d v="2025-01-11T00:00:00"/>
    <n v="369.17436099365881"/>
    <d v="2025-01-26T00:00:00"/>
    <x v="0"/>
  </r>
  <r>
    <s v="176-10000349"/>
    <s v="DXB-NBO"/>
    <x v="0"/>
    <x v="0"/>
    <n v="1918"/>
    <n v="85"/>
    <s v="USD"/>
    <x v="3"/>
    <d v="2025-04-26T00:00:00"/>
    <n v="1771.3313330775595"/>
    <d v="2025-04-30T00:00:00"/>
    <x v="2"/>
  </r>
  <r>
    <s v="176-10000354"/>
    <s v="DXB-CGK"/>
    <x v="3"/>
    <x v="0"/>
    <n v="1276"/>
    <n v="257"/>
    <s v="USD"/>
    <x v="1"/>
    <d v="2025-03-24T00:00:00"/>
    <n v="653.05358744384762"/>
    <d v="2025-05-08T00:00:00"/>
    <x v="2"/>
  </r>
  <r>
    <s v="176-10000359"/>
    <s v="DXB-MAA"/>
    <x v="3"/>
    <x v="0"/>
    <n v="1859"/>
    <n v="61"/>
    <s v="USD"/>
    <x v="1"/>
    <d v="2025-01-22T00:00:00"/>
    <n v="1764.7120820452631"/>
    <d v="2025-02-03T00:00:00"/>
    <x v="3"/>
  </r>
  <r>
    <s v="176-10000360"/>
    <s v="DXB-NBO"/>
    <x v="0"/>
    <x v="0"/>
    <n v="271"/>
    <n v="194"/>
    <s v="USD"/>
    <x v="2"/>
    <d v="2025-04-18T00:00:00"/>
    <n v="241.62338500196384"/>
    <d v="2025-06-02T00:00:00"/>
    <x v="1"/>
  </r>
  <r>
    <s v="176-10000362"/>
    <s v="DXB-CGK"/>
    <x v="2"/>
    <x v="0"/>
    <n v="1143"/>
    <n v="52"/>
    <s v="USD"/>
    <x v="2"/>
    <d v="2025-03-05T00:00:00"/>
    <n v="1017.4849546208154"/>
    <d v="2025-03-12T00:00:00"/>
    <x v="3"/>
  </r>
  <r>
    <s v="176-10000363"/>
    <s v="DXB-NBO"/>
    <x v="3"/>
    <x v="0"/>
    <n v="255"/>
    <n v="193"/>
    <s v="USD"/>
    <x v="1"/>
    <d v="2025-04-16T00:00:00"/>
    <n v="185.89445927295537"/>
    <d v="2025-04-21T00:00:00"/>
    <x v="1"/>
  </r>
  <r>
    <s v="176-10000365"/>
    <s v="DXB-CGK"/>
    <x v="3"/>
    <x v="0"/>
    <n v="577"/>
    <n v="286"/>
    <s v="USD"/>
    <x v="2"/>
    <d v="2025-03-04T00:00:00"/>
    <n v="403.32452701737407"/>
    <d v="2025-03-20T00:00:00"/>
    <x v="0"/>
  </r>
  <r>
    <s v="176-10000368"/>
    <s v="DXB-NBO"/>
    <x v="2"/>
    <x v="0"/>
    <n v="784"/>
    <n v="164"/>
    <s v="USD"/>
    <x v="4"/>
    <d v="2025-04-03T00:00:00"/>
    <n v="510.74296570261146"/>
    <d v="2025-04-09T00:00:00"/>
    <x v="1"/>
  </r>
  <r>
    <s v="176-10000370"/>
    <s v="DXB-CGK"/>
    <x v="3"/>
    <x v="0"/>
    <n v="923"/>
    <n v="167"/>
    <s v="USD"/>
    <x v="3"/>
    <d v="2025-04-17T00:00:00"/>
    <n v="491.8181774074398"/>
    <d v="2025-05-17T00:00:00"/>
    <x v="3"/>
  </r>
  <r>
    <s v="176-10000371"/>
    <s v="DXB-CGK"/>
    <x v="3"/>
    <x v="0"/>
    <n v="1246"/>
    <n v="54"/>
    <s v="USD"/>
    <x v="1"/>
    <d v="2025-01-14T00:00:00"/>
    <n v="765.19063145657458"/>
    <d v="2025-02-27T00:00:00"/>
    <x v="3"/>
  </r>
  <r>
    <s v="176-10000373"/>
    <s v="DXB-JFK"/>
    <x v="2"/>
    <x v="0"/>
    <n v="372"/>
    <n v="370"/>
    <s v="USD"/>
    <x v="3"/>
    <d v="2025-02-15T00:00:00"/>
    <n v="231.8682761059126"/>
    <d v="2025-03-11T00:00:00"/>
    <x v="1"/>
  </r>
  <r>
    <s v="176-10000377"/>
    <s v="DXB-BOM"/>
    <x v="3"/>
    <x v="0"/>
    <n v="865"/>
    <n v="133"/>
    <s v="USD"/>
    <x v="2"/>
    <d v="2025-01-08T00:00:00"/>
    <n v="641.8633326496622"/>
    <d v="2025-02-18T00:00:00"/>
    <x v="2"/>
  </r>
  <r>
    <s v="176-10000386"/>
    <s v="DXB-LHR"/>
    <x v="3"/>
    <x v="0"/>
    <n v="156"/>
    <n v="200"/>
    <s v="USD"/>
    <x v="2"/>
    <d v="2025-04-20T00:00:00"/>
    <n v="136.30066371454211"/>
    <d v="2025-04-22T00:00:00"/>
    <x v="0"/>
  </r>
  <r>
    <s v="176-10000389"/>
    <s v="DXB-NBO"/>
    <x v="2"/>
    <x v="1"/>
    <n v="357"/>
    <n v="115"/>
    <s v="USD"/>
    <x v="4"/>
    <d v="2025-04-25T00:00:00"/>
    <n v="263.07505436903347"/>
    <d v="2025-05-13T00:00:00"/>
    <x v="0"/>
  </r>
  <r>
    <s v="176-10000391"/>
    <s v="DXB-JFK"/>
    <x v="3"/>
    <x v="0"/>
    <n v="1563"/>
    <n v="307"/>
    <s v="USD"/>
    <x v="3"/>
    <d v="2025-01-24T00:00:00"/>
    <n v="826.70543724295601"/>
    <d v="2025-02-02T00:00:00"/>
    <x v="3"/>
  </r>
  <r>
    <s v="176-10000393"/>
    <s v="DXB-CGK"/>
    <x v="3"/>
    <x v="0"/>
    <n v="171"/>
    <n v="380"/>
    <s v="USD"/>
    <x v="2"/>
    <d v="2025-01-23T00:00:00"/>
    <n v="167.39102798449142"/>
    <d v="2025-01-29T00:00:00"/>
    <x v="2"/>
  </r>
  <r>
    <s v="176-10000397"/>
    <s v="DXB-LHR"/>
    <x v="3"/>
    <x v="1"/>
    <n v="1300"/>
    <n v="203"/>
    <s v="USD"/>
    <x v="1"/>
    <d v="2025-02-16T00:00:00"/>
    <n v="1262.7708074111729"/>
    <d v="2025-03-11T00:00:00"/>
    <x v="1"/>
  </r>
  <r>
    <s v="176-10000400"/>
    <s v="DXB-MAA"/>
    <x v="0"/>
    <x v="0"/>
    <n v="1023"/>
    <n v="311"/>
    <s v="USD"/>
    <x v="3"/>
    <d v="2025-02-20T00:00:00"/>
    <n v="913.12445132041091"/>
    <d v="2025-03-16T00:00:00"/>
    <x v="0"/>
  </r>
  <r>
    <s v="176-10000401"/>
    <s v="DXB-LHR"/>
    <x v="3"/>
    <x v="0"/>
    <n v="163"/>
    <n v="192"/>
    <s v="USD"/>
    <x v="2"/>
    <d v="2025-03-24T00:00:00"/>
    <n v="162.29322397748399"/>
    <d v="2025-04-20T00:00:00"/>
    <x v="2"/>
  </r>
  <r>
    <s v="176-10000403"/>
    <s v="DXB-MAA"/>
    <x v="1"/>
    <x v="0"/>
    <n v="1127"/>
    <n v="365"/>
    <s v="USD"/>
    <x v="2"/>
    <d v="2025-01-11T00:00:00"/>
    <n v="870.31579453294808"/>
    <d v="2025-02-22T00:00:00"/>
    <x v="0"/>
  </r>
  <r>
    <s v="176-10000404"/>
    <s v="DXB-CGK"/>
    <x v="1"/>
    <x v="2"/>
    <n v="1163"/>
    <n v="150"/>
    <s v="USD"/>
    <x v="4"/>
    <d v="2025-01-11T00:00:00"/>
    <n v="1141.3497956722392"/>
    <d v="2025-01-30T00:00:00"/>
    <x v="2"/>
  </r>
  <r>
    <s v="176-10000414"/>
    <s v="DXB-BOM"/>
    <x v="0"/>
    <x v="0"/>
    <n v="1740"/>
    <n v="265"/>
    <s v="USD"/>
    <x v="0"/>
    <d v="2025-01-05T00:00:00"/>
    <n v="935.77638533657318"/>
    <d v="2025-02-05T00:00:00"/>
    <x v="2"/>
  </r>
  <r>
    <s v="176-10000415"/>
    <s v="DXB-JFK"/>
    <x v="2"/>
    <x v="1"/>
    <n v="899"/>
    <n v="207"/>
    <s v="USD"/>
    <x v="2"/>
    <d v="2025-01-16T00:00:00"/>
    <n v="613.87349634348641"/>
    <d v="2025-01-31T00:00:00"/>
    <x v="3"/>
  </r>
  <r>
    <s v="176-10000417"/>
    <s v="DXB-LHR"/>
    <x v="0"/>
    <x v="0"/>
    <n v="834"/>
    <n v="116"/>
    <s v="USD"/>
    <x v="0"/>
    <d v="2025-04-25T00:00:00"/>
    <n v="510.98398875882128"/>
    <d v="2025-05-24T00:00:00"/>
    <x v="0"/>
  </r>
  <r>
    <s v="176-10000422"/>
    <s v="DXB-LHR"/>
    <x v="3"/>
    <x v="1"/>
    <n v="437"/>
    <n v="212"/>
    <s v="USD"/>
    <x v="1"/>
    <d v="2025-02-01T00:00:00"/>
    <n v="261.28952888333805"/>
    <d v="2025-02-03T00:00:00"/>
    <x v="1"/>
  </r>
  <r>
    <s v="176-10000430"/>
    <s v="DXB-MAA"/>
    <x v="2"/>
    <x v="2"/>
    <n v="1525"/>
    <n v="74"/>
    <s v="USD"/>
    <x v="4"/>
    <d v="2025-04-20T00:00:00"/>
    <n v="869.86224853066551"/>
    <d v="2025-05-17T00:00:00"/>
    <x v="3"/>
  </r>
  <r>
    <s v="176-10000431"/>
    <s v="DXB-CGK"/>
    <x v="2"/>
    <x v="2"/>
    <n v="461"/>
    <n v="330"/>
    <s v="USD"/>
    <x v="0"/>
    <d v="2025-04-15T00:00:00"/>
    <n v="373.96634438096225"/>
    <d v="2025-05-22T00:00:00"/>
    <x v="3"/>
  </r>
  <r>
    <s v="176-10000433"/>
    <s v="DXB-CGK"/>
    <x v="3"/>
    <x v="0"/>
    <n v="1232"/>
    <n v="359"/>
    <s v="USD"/>
    <x v="2"/>
    <d v="2025-04-22T00:00:00"/>
    <n v="1097.29426314034"/>
    <d v="2025-05-28T00:00:00"/>
    <x v="1"/>
  </r>
  <r>
    <s v="176-10000438"/>
    <s v="DXB-MAA"/>
    <x v="2"/>
    <x v="0"/>
    <n v="184"/>
    <n v="370"/>
    <s v="USD"/>
    <x v="4"/>
    <d v="2025-03-27T00:00:00"/>
    <n v="145.20345274667318"/>
    <d v="2025-04-28T00:00:00"/>
    <x v="3"/>
  </r>
  <r>
    <s v="176-10000443"/>
    <s v="DXB-JFK"/>
    <x v="0"/>
    <x v="0"/>
    <n v="1052"/>
    <n v="74"/>
    <s v="USD"/>
    <x v="4"/>
    <d v="2025-01-14T00:00:00"/>
    <n v="603.30238524339836"/>
    <d v="2025-01-25T00:00:00"/>
    <x v="2"/>
  </r>
  <r>
    <s v="176-10000452"/>
    <s v="DXB-JFK"/>
    <x v="2"/>
    <x v="1"/>
    <n v="954"/>
    <n v="177"/>
    <s v="USD"/>
    <x v="1"/>
    <d v="2025-03-10T00:00:00"/>
    <n v="863.90603825826565"/>
    <d v="2025-04-16T00:00:00"/>
    <x v="2"/>
  </r>
  <r>
    <s v="176-10000453"/>
    <s v="DXB-MAA"/>
    <x v="0"/>
    <x v="0"/>
    <n v="665"/>
    <n v="145"/>
    <s v="USD"/>
    <x v="3"/>
    <d v="2025-02-13T00:00:00"/>
    <n v="543.95494013193968"/>
    <d v="2025-03-04T00:00:00"/>
    <x v="0"/>
  </r>
  <r>
    <s v="176-10000457"/>
    <s v="DXB-LHR"/>
    <x v="3"/>
    <x v="0"/>
    <n v="681"/>
    <n v="383"/>
    <s v="USD"/>
    <x v="0"/>
    <d v="2025-01-19T00:00:00"/>
    <n v="472.67042293624195"/>
    <d v="2025-02-05T00:00:00"/>
    <x v="0"/>
  </r>
  <r>
    <s v="176-10000472"/>
    <s v="DXB-CGK"/>
    <x v="0"/>
    <x v="0"/>
    <n v="484"/>
    <n v="179"/>
    <s v="USD"/>
    <x v="1"/>
    <d v="2025-03-15T00:00:00"/>
    <n v="405.13953151972726"/>
    <d v="2025-04-05T00:00:00"/>
    <x v="1"/>
  </r>
  <r>
    <s v="176-10000480"/>
    <s v="DXB-LHR"/>
    <x v="3"/>
    <x v="0"/>
    <n v="1419"/>
    <n v="378"/>
    <s v="USD"/>
    <x v="1"/>
    <d v="2025-03-15T00:00:00"/>
    <n v="893.90258277278986"/>
    <d v="2025-03-30T00:00:00"/>
    <x v="0"/>
  </r>
  <r>
    <s v="176-10000482"/>
    <s v="DXB-CGK"/>
    <x v="3"/>
    <x v="2"/>
    <n v="1441"/>
    <n v="239"/>
    <s v="USD"/>
    <x v="1"/>
    <d v="2025-03-15T00:00:00"/>
    <n v="969.21098622007867"/>
    <d v="2025-04-14T00:00:00"/>
    <x v="2"/>
  </r>
  <r>
    <s v="176-10000483"/>
    <s v="DXB-BOM"/>
    <x v="0"/>
    <x v="0"/>
    <n v="1816"/>
    <n v="312"/>
    <s v="USD"/>
    <x v="2"/>
    <d v="2025-04-06T00:00:00"/>
    <n v="1741.0771455638471"/>
    <d v="2025-04-12T00:00:00"/>
    <x v="1"/>
  </r>
  <r>
    <s v="176-10000485"/>
    <s v="DXB-CGK"/>
    <x v="2"/>
    <x v="0"/>
    <n v="679"/>
    <n v="301"/>
    <s v="USD"/>
    <x v="0"/>
    <d v="2025-03-31T00:00:00"/>
    <n v="438.12627967544722"/>
    <d v="2025-05-04T00:00:00"/>
    <x v="1"/>
  </r>
  <r>
    <s v="176-10000487"/>
    <s v="DXB-MAA"/>
    <x v="2"/>
    <x v="2"/>
    <n v="170"/>
    <n v="309"/>
    <s v="USD"/>
    <x v="4"/>
    <d v="2025-03-28T00:00:00"/>
    <n v="124.94900279342461"/>
    <d v="2025-04-23T00:00:00"/>
    <x v="0"/>
  </r>
  <r>
    <s v="176-10000498"/>
    <s v="DXB-CGK"/>
    <x v="1"/>
    <x v="2"/>
    <n v="1089"/>
    <n v="227"/>
    <s v="USD"/>
    <x v="1"/>
    <d v="2025-04-27T00:00:00"/>
    <n v="1029.18184931213"/>
    <d v="2025-05-08T00:00:00"/>
    <x v="2"/>
  </r>
  <r>
    <s v="176-10000499"/>
    <s v="DXB-MAA"/>
    <x v="1"/>
    <x v="0"/>
    <n v="675"/>
    <n v="112"/>
    <s v="USD"/>
    <x v="4"/>
    <d v="2025-05-01T00:00:00"/>
    <n v="576.35595571529052"/>
    <d v="2025-05-10T00:00:00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176-10000000"/>
    <x v="0"/>
    <x v="0"/>
    <x v="0"/>
    <n v="1034"/>
    <n v="383"/>
    <s v="USD"/>
    <x v="0"/>
    <x v="0"/>
  </r>
  <r>
    <s v="176-10000001"/>
    <x v="1"/>
    <x v="1"/>
    <x v="0"/>
    <n v="1416"/>
    <n v="51"/>
    <s v="USD"/>
    <x v="1"/>
    <x v="1"/>
  </r>
  <r>
    <s v="176-10000002"/>
    <x v="2"/>
    <x v="1"/>
    <x v="1"/>
    <n v="1666"/>
    <n v="342"/>
    <s v="USD"/>
    <x v="0"/>
    <x v="2"/>
  </r>
  <r>
    <s v="176-10000003"/>
    <x v="1"/>
    <x v="0"/>
    <x v="0"/>
    <n v="1539"/>
    <n v="374"/>
    <s v="USD"/>
    <x v="2"/>
    <x v="3"/>
  </r>
  <r>
    <s v="176-10000004"/>
    <x v="1"/>
    <x v="2"/>
    <x v="0"/>
    <n v="1503"/>
    <n v="90"/>
    <s v="USD"/>
    <x v="2"/>
    <x v="4"/>
  </r>
  <r>
    <s v="176-10000005"/>
    <x v="3"/>
    <x v="1"/>
    <x v="0"/>
    <n v="1280"/>
    <n v="367"/>
    <s v="USD"/>
    <x v="1"/>
    <x v="5"/>
  </r>
  <r>
    <s v="176-10000006"/>
    <x v="2"/>
    <x v="1"/>
    <x v="0"/>
    <n v="375"/>
    <n v="365"/>
    <s v="USD"/>
    <x v="0"/>
    <x v="6"/>
  </r>
  <r>
    <s v="176-10000007"/>
    <x v="2"/>
    <x v="1"/>
    <x v="0"/>
    <n v="974"/>
    <n v="160"/>
    <s v="USD"/>
    <x v="0"/>
    <x v="7"/>
  </r>
  <r>
    <s v="176-10000008"/>
    <x v="2"/>
    <x v="0"/>
    <x v="0"/>
    <n v="367"/>
    <n v="63"/>
    <s v="USD"/>
    <x v="0"/>
    <x v="8"/>
  </r>
  <r>
    <s v="176-10000009"/>
    <x v="1"/>
    <x v="3"/>
    <x v="0"/>
    <n v="1086"/>
    <n v="280"/>
    <s v="USD"/>
    <x v="3"/>
    <x v="9"/>
  </r>
  <r>
    <s v="176-10000010"/>
    <x v="0"/>
    <x v="1"/>
    <x v="0"/>
    <n v="902"/>
    <n v="133"/>
    <s v="USD"/>
    <x v="2"/>
    <x v="10"/>
  </r>
  <r>
    <s v="176-10000011"/>
    <x v="2"/>
    <x v="3"/>
    <x v="0"/>
    <n v="655"/>
    <n v="179"/>
    <s v="USD"/>
    <x v="0"/>
    <x v="11"/>
  </r>
  <r>
    <s v="176-10000012"/>
    <x v="4"/>
    <x v="2"/>
    <x v="0"/>
    <n v="408"/>
    <n v="280"/>
    <s v="USD"/>
    <x v="0"/>
    <x v="12"/>
  </r>
  <r>
    <s v="176-10000013"/>
    <x v="1"/>
    <x v="1"/>
    <x v="0"/>
    <n v="1947"/>
    <n v="375"/>
    <s v="USD"/>
    <x v="3"/>
    <x v="13"/>
  </r>
  <r>
    <s v="176-10000014"/>
    <x v="3"/>
    <x v="1"/>
    <x v="0"/>
    <n v="1690"/>
    <n v="194"/>
    <s v="USD"/>
    <x v="3"/>
    <x v="14"/>
  </r>
  <r>
    <s v="176-10000015"/>
    <x v="0"/>
    <x v="2"/>
    <x v="0"/>
    <n v="1946"/>
    <n v="394"/>
    <s v="USD"/>
    <x v="0"/>
    <x v="15"/>
  </r>
  <r>
    <s v="176-10000016"/>
    <x v="4"/>
    <x v="1"/>
    <x v="0"/>
    <n v="203"/>
    <n v="77"/>
    <s v="USD"/>
    <x v="4"/>
    <x v="16"/>
  </r>
  <r>
    <s v="176-10000017"/>
    <x v="4"/>
    <x v="3"/>
    <x v="0"/>
    <n v="1220"/>
    <n v="115"/>
    <s v="USD"/>
    <x v="0"/>
    <x v="17"/>
  </r>
  <r>
    <s v="176-10000018"/>
    <x v="3"/>
    <x v="0"/>
    <x v="0"/>
    <n v="876"/>
    <n v="212"/>
    <s v="USD"/>
    <x v="0"/>
    <x v="18"/>
  </r>
  <r>
    <s v="176-10000019"/>
    <x v="0"/>
    <x v="3"/>
    <x v="1"/>
    <n v="838"/>
    <n v="278"/>
    <s v="USD"/>
    <x v="3"/>
    <x v="19"/>
  </r>
  <r>
    <s v="176-10000020"/>
    <x v="1"/>
    <x v="0"/>
    <x v="0"/>
    <n v="1694"/>
    <n v="310"/>
    <s v="USD"/>
    <x v="3"/>
    <x v="17"/>
  </r>
  <r>
    <s v="176-10000021"/>
    <x v="5"/>
    <x v="0"/>
    <x v="0"/>
    <n v="1272"/>
    <n v="213"/>
    <s v="USD"/>
    <x v="0"/>
    <x v="20"/>
  </r>
  <r>
    <s v="176-10000022"/>
    <x v="0"/>
    <x v="3"/>
    <x v="1"/>
    <n v="1193"/>
    <n v="350"/>
    <s v="USD"/>
    <x v="0"/>
    <x v="21"/>
  </r>
  <r>
    <s v="176-10000023"/>
    <x v="3"/>
    <x v="3"/>
    <x v="2"/>
    <n v="1926"/>
    <n v="352"/>
    <s v="USD"/>
    <x v="0"/>
    <x v="20"/>
  </r>
  <r>
    <s v="176-10000024"/>
    <x v="4"/>
    <x v="3"/>
    <x v="0"/>
    <n v="1746"/>
    <n v="336"/>
    <s v="USD"/>
    <x v="3"/>
    <x v="17"/>
  </r>
  <r>
    <s v="176-10000025"/>
    <x v="1"/>
    <x v="3"/>
    <x v="0"/>
    <n v="1663"/>
    <n v="59"/>
    <s v="USD"/>
    <x v="0"/>
    <x v="22"/>
  </r>
  <r>
    <s v="176-10000026"/>
    <x v="0"/>
    <x v="2"/>
    <x v="1"/>
    <n v="568"/>
    <n v="244"/>
    <s v="USD"/>
    <x v="0"/>
    <x v="23"/>
  </r>
  <r>
    <s v="176-10000027"/>
    <x v="5"/>
    <x v="1"/>
    <x v="1"/>
    <n v="839"/>
    <n v="167"/>
    <s v="USD"/>
    <x v="1"/>
    <x v="24"/>
  </r>
  <r>
    <s v="176-10000028"/>
    <x v="5"/>
    <x v="0"/>
    <x v="0"/>
    <n v="999"/>
    <n v="319"/>
    <s v="USD"/>
    <x v="4"/>
    <x v="25"/>
  </r>
  <r>
    <s v="176-10000029"/>
    <x v="2"/>
    <x v="3"/>
    <x v="0"/>
    <n v="211"/>
    <n v="129"/>
    <s v="USD"/>
    <x v="2"/>
    <x v="26"/>
  </r>
  <r>
    <s v="176-10000030"/>
    <x v="2"/>
    <x v="3"/>
    <x v="0"/>
    <n v="1318"/>
    <n v="142"/>
    <s v="USD"/>
    <x v="4"/>
    <x v="27"/>
  </r>
  <r>
    <s v="176-10000031"/>
    <x v="3"/>
    <x v="3"/>
    <x v="0"/>
    <n v="365"/>
    <n v="315"/>
    <s v="USD"/>
    <x v="1"/>
    <x v="28"/>
  </r>
  <r>
    <s v="176-10000032"/>
    <x v="0"/>
    <x v="2"/>
    <x v="0"/>
    <n v="152"/>
    <n v="381"/>
    <s v="USD"/>
    <x v="2"/>
    <x v="2"/>
  </r>
  <r>
    <s v="176-10000033"/>
    <x v="0"/>
    <x v="3"/>
    <x v="0"/>
    <n v="309"/>
    <n v="399"/>
    <s v="USD"/>
    <x v="0"/>
    <x v="29"/>
  </r>
  <r>
    <s v="176-10000034"/>
    <x v="4"/>
    <x v="3"/>
    <x v="0"/>
    <n v="1912"/>
    <n v="306"/>
    <s v="USD"/>
    <x v="1"/>
    <x v="16"/>
  </r>
  <r>
    <s v="176-10000035"/>
    <x v="4"/>
    <x v="3"/>
    <x v="1"/>
    <n v="930"/>
    <n v="182"/>
    <s v="USD"/>
    <x v="0"/>
    <x v="30"/>
  </r>
  <r>
    <s v="176-10000036"/>
    <x v="4"/>
    <x v="1"/>
    <x v="0"/>
    <n v="1293"/>
    <n v="325"/>
    <s v="USD"/>
    <x v="3"/>
    <x v="31"/>
  </r>
  <r>
    <s v="176-10000037"/>
    <x v="2"/>
    <x v="2"/>
    <x v="0"/>
    <n v="1042"/>
    <n v="313"/>
    <s v="USD"/>
    <x v="1"/>
    <x v="32"/>
  </r>
  <r>
    <s v="176-10000038"/>
    <x v="0"/>
    <x v="3"/>
    <x v="1"/>
    <n v="1262"/>
    <n v="220"/>
    <s v="USD"/>
    <x v="3"/>
    <x v="33"/>
  </r>
  <r>
    <s v="176-10000039"/>
    <x v="0"/>
    <x v="0"/>
    <x v="1"/>
    <n v="478"/>
    <n v="50"/>
    <s v="USD"/>
    <x v="1"/>
    <x v="5"/>
  </r>
  <r>
    <s v="176-10000040"/>
    <x v="5"/>
    <x v="0"/>
    <x v="0"/>
    <n v="729"/>
    <n v="362"/>
    <s v="USD"/>
    <x v="1"/>
    <x v="1"/>
  </r>
  <r>
    <s v="176-10000041"/>
    <x v="2"/>
    <x v="0"/>
    <x v="0"/>
    <n v="1530"/>
    <n v="113"/>
    <s v="USD"/>
    <x v="3"/>
    <x v="34"/>
  </r>
  <r>
    <s v="176-10000042"/>
    <x v="1"/>
    <x v="2"/>
    <x v="0"/>
    <n v="1783"/>
    <n v="333"/>
    <s v="USD"/>
    <x v="2"/>
    <x v="35"/>
  </r>
  <r>
    <s v="176-10000043"/>
    <x v="2"/>
    <x v="2"/>
    <x v="0"/>
    <n v="1440"/>
    <n v="170"/>
    <s v="USD"/>
    <x v="4"/>
    <x v="27"/>
  </r>
  <r>
    <s v="176-10000044"/>
    <x v="1"/>
    <x v="0"/>
    <x v="0"/>
    <n v="1790"/>
    <n v="156"/>
    <s v="USD"/>
    <x v="0"/>
    <x v="36"/>
  </r>
  <r>
    <s v="176-10000045"/>
    <x v="5"/>
    <x v="3"/>
    <x v="0"/>
    <n v="1101"/>
    <n v="224"/>
    <s v="USD"/>
    <x v="1"/>
    <x v="37"/>
  </r>
  <r>
    <s v="176-10000046"/>
    <x v="3"/>
    <x v="2"/>
    <x v="0"/>
    <n v="1496"/>
    <n v="253"/>
    <s v="USD"/>
    <x v="0"/>
    <x v="38"/>
  </r>
  <r>
    <s v="176-10000047"/>
    <x v="0"/>
    <x v="0"/>
    <x v="0"/>
    <n v="784"/>
    <n v="214"/>
    <s v="USD"/>
    <x v="3"/>
    <x v="39"/>
  </r>
  <r>
    <s v="176-10000048"/>
    <x v="5"/>
    <x v="0"/>
    <x v="0"/>
    <n v="1137"/>
    <n v="354"/>
    <s v="USD"/>
    <x v="0"/>
    <x v="3"/>
  </r>
  <r>
    <s v="176-10000049"/>
    <x v="0"/>
    <x v="3"/>
    <x v="0"/>
    <n v="1714"/>
    <n v="169"/>
    <s v="USD"/>
    <x v="3"/>
    <x v="40"/>
  </r>
  <r>
    <s v="176-10000050"/>
    <x v="4"/>
    <x v="1"/>
    <x v="0"/>
    <n v="1822"/>
    <n v="93"/>
    <s v="USD"/>
    <x v="0"/>
    <x v="41"/>
  </r>
  <r>
    <s v="176-10000051"/>
    <x v="3"/>
    <x v="2"/>
    <x v="0"/>
    <n v="1368"/>
    <n v="361"/>
    <s v="USD"/>
    <x v="4"/>
    <x v="42"/>
  </r>
  <r>
    <s v="176-10000052"/>
    <x v="3"/>
    <x v="3"/>
    <x v="0"/>
    <n v="1070"/>
    <n v="205"/>
    <s v="USD"/>
    <x v="4"/>
    <x v="43"/>
  </r>
  <r>
    <s v="176-10000053"/>
    <x v="5"/>
    <x v="0"/>
    <x v="1"/>
    <n v="887"/>
    <n v="256"/>
    <s v="USD"/>
    <x v="4"/>
    <x v="44"/>
  </r>
  <r>
    <s v="176-10000054"/>
    <x v="3"/>
    <x v="0"/>
    <x v="0"/>
    <n v="1505"/>
    <n v="157"/>
    <s v="USD"/>
    <x v="4"/>
    <x v="37"/>
  </r>
  <r>
    <s v="176-10000055"/>
    <x v="1"/>
    <x v="3"/>
    <x v="0"/>
    <n v="319"/>
    <n v="300"/>
    <s v="USD"/>
    <x v="4"/>
    <x v="45"/>
  </r>
  <r>
    <s v="176-10000056"/>
    <x v="3"/>
    <x v="2"/>
    <x v="1"/>
    <n v="670"/>
    <n v="383"/>
    <s v="USD"/>
    <x v="4"/>
    <x v="33"/>
  </r>
  <r>
    <s v="176-10000057"/>
    <x v="0"/>
    <x v="1"/>
    <x v="0"/>
    <n v="1636"/>
    <n v="179"/>
    <s v="USD"/>
    <x v="3"/>
    <x v="39"/>
  </r>
  <r>
    <s v="176-10000058"/>
    <x v="0"/>
    <x v="1"/>
    <x v="0"/>
    <n v="189"/>
    <n v="342"/>
    <s v="USD"/>
    <x v="1"/>
    <x v="35"/>
  </r>
  <r>
    <s v="176-10000059"/>
    <x v="0"/>
    <x v="0"/>
    <x v="0"/>
    <n v="1710"/>
    <n v="69"/>
    <s v="USD"/>
    <x v="0"/>
    <x v="46"/>
  </r>
  <r>
    <s v="176-10000060"/>
    <x v="0"/>
    <x v="2"/>
    <x v="0"/>
    <n v="1434"/>
    <n v="331"/>
    <s v="USD"/>
    <x v="4"/>
    <x v="47"/>
  </r>
  <r>
    <s v="176-10000061"/>
    <x v="1"/>
    <x v="1"/>
    <x v="1"/>
    <n v="1568"/>
    <n v="334"/>
    <s v="USD"/>
    <x v="3"/>
    <x v="48"/>
  </r>
  <r>
    <s v="176-10000062"/>
    <x v="2"/>
    <x v="2"/>
    <x v="0"/>
    <n v="1104"/>
    <n v="50"/>
    <s v="USD"/>
    <x v="3"/>
    <x v="49"/>
  </r>
  <r>
    <s v="176-10000063"/>
    <x v="4"/>
    <x v="2"/>
    <x v="0"/>
    <n v="1399"/>
    <n v="168"/>
    <s v="USD"/>
    <x v="3"/>
    <x v="50"/>
  </r>
  <r>
    <s v="176-10000064"/>
    <x v="5"/>
    <x v="0"/>
    <x v="0"/>
    <n v="1133"/>
    <n v="84"/>
    <s v="USD"/>
    <x v="1"/>
    <x v="51"/>
  </r>
  <r>
    <s v="176-10000065"/>
    <x v="0"/>
    <x v="1"/>
    <x v="0"/>
    <n v="1297"/>
    <n v="247"/>
    <s v="USD"/>
    <x v="0"/>
    <x v="39"/>
  </r>
  <r>
    <s v="176-10000066"/>
    <x v="3"/>
    <x v="3"/>
    <x v="0"/>
    <n v="1124"/>
    <n v="294"/>
    <s v="USD"/>
    <x v="1"/>
    <x v="15"/>
  </r>
  <r>
    <s v="176-10000067"/>
    <x v="0"/>
    <x v="0"/>
    <x v="0"/>
    <n v="187"/>
    <n v="108"/>
    <s v="USD"/>
    <x v="2"/>
    <x v="51"/>
  </r>
  <r>
    <s v="176-10000068"/>
    <x v="3"/>
    <x v="1"/>
    <x v="0"/>
    <n v="477"/>
    <n v="374"/>
    <s v="USD"/>
    <x v="3"/>
    <x v="38"/>
  </r>
  <r>
    <s v="176-10000069"/>
    <x v="4"/>
    <x v="1"/>
    <x v="2"/>
    <n v="1424"/>
    <n v="210"/>
    <s v="USD"/>
    <x v="2"/>
    <x v="52"/>
  </r>
  <r>
    <s v="176-10000070"/>
    <x v="4"/>
    <x v="1"/>
    <x v="0"/>
    <n v="1349"/>
    <n v="228"/>
    <s v="USD"/>
    <x v="4"/>
    <x v="15"/>
  </r>
  <r>
    <s v="176-10000071"/>
    <x v="4"/>
    <x v="1"/>
    <x v="0"/>
    <n v="1775"/>
    <n v="255"/>
    <s v="USD"/>
    <x v="4"/>
    <x v="53"/>
  </r>
  <r>
    <s v="176-10000072"/>
    <x v="3"/>
    <x v="1"/>
    <x v="0"/>
    <n v="1063"/>
    <n v="61"/>
    <s v="USD"/>
    <x v="1"/>
    <x v="4"/>
  </r>
  <r>
    <s v="176-10000073"/>
    <x v="0"/>
    <x v="2"/>
    <x v="0"/>
    <n v="603"/>
    <n v="325"/>
    <s v="USD"/>
    <x v="0"/>
    <x v="54"/>
  </r>
  <r>
    <s v="176-10000074"/>
    <x v="4"/>
    <x v="0"/>
    <x v="0"/>
    <n v="186"/>
    <n v="230"/>
    <s v="USD"/>
    <x v="2"/>
    <x v="55"/>
  </r>
  <r>
    <s v="176-10000075"/>
    <x v="1"/>
    <x v="2"/>
    <x v="0"/>
    <n v="1489"/>
    <n v="291"/>
    <s v="USD"/>
    <x v="0"/>
    <x v="56"/>
  </r>
  <r>
    <s v="176-10000076"/>
    <x v="3"/>
    <x v="3"/>
    <x v="0"/>
    <n v="1861"/>
    <n v="265"/>
    <s v="USD"/>
    <x v="1"/>
    <x v="57"/>
  </r>
  <r>
    <s v="176-10000077"/>
    <x v="3"/>
    <x v="1"/>
    <x v="0"/>
    <n v="1122"/>
    <n v="300"/>
    <s v="USD"/>
    <x v="4"/>
    <x v="58"/>
  </r>
  <r>
    <s v="176-10000078"/>
    <x v="0"/>
    <x v="0"/>
    <x v="0"/>
    <n v="945"/>
    <n v="348"/>
    <s v="USD"/>
    <x v="0"/>
    <x v="59"/>
  </r>
  <r>
    <s v="176-10000079"/>
    <x v="3"/>
    <x v="1"/>
    <x v="1"/>
    <n v="1122"/>
    <n v="175"/>
    <s v="USD"/>
    <x v="0"/>
    <x v="11"/>
  </r>
  <r>
    <s v="176-10000080"/>
    <x v="3"/>
    <x v="0"/>
    <x v="0"/>
    <n v="742"/>
    <n v="266"/>
    <s v="USD"/>
    <x v="4"/>
    <x v="60"/>
  </r>
  <r>
    <s v="176-10000081"/>
    <x v="4"/>
    <x v="2"/>
    <x v="0"/>
    <n v="1287"/>
    <n v="355"/>
    <s v="USD"/>
    <x v="2"/>
    <x v="61"/>
  </r>
  <r>
    <s v="176-10000082"/>
    <x v="0"/>
    <x v="0"/>
    <x v="0"/>
    <n v="1213"/>
    <n v="334"/>
    <s v="USD"/>
    <x v="4"/>
    <x v="8"/>
  </r>
  <r>
    <s v="176-10000083"/>
    <x v="4"/>
    <x v="3"/>
    <x v="2"/>
    <n v="1474"/>
    <n v="234"/>
    <s v="USD"/>
    <x v="0"/>
    <x v="59"/>
  </r>
  <r>
    <s v="176-10000084"/>
    <x v="4"/>
    <x v="3"/>
    <x v="0"/>
    <n v="373"/>
    <n v="88"/>
    <s v="USD"/>
    <x v="2"/>
    <x v="62"/>
  </r>
  <r>
    <s v="176-10000085"/>
    <x v="0"/>
    <x v="0"/>
    <x v="0"/>
    <n v="467"/>
    <n v="272"/>
    <s v="USD"/>
    <x v="2"/>
    <x v="41"/>
  </r>
  <r>
    <s v="176-10000086"/>
    <x v="5"/>
    <x v="0"/>
    <x v="2"/>
    <n v="498"/>
    <n v="233"/>
    <s v="USD"/>
    <x v="4"/>
    <x v="63"/>
  </r>
  <r>
    <s v="176-10000087"/>
    <x v="4"/>
    <x v="0"/>
    <x v="1"/>
    <n v="264"/>
    <n v="227"/>
    <s v="USD"/>
    <x v="0"/>
    <x v="2"/>
  </r>
  <r>
    <s v="176-10000088"/>
    <x v="1"/>
    <x v="0"/>
    <x v="1"/>
    <n v="847"/>
    <n v="343"/>
    <s v="USD"/>
    <x v="1"/>
    <x v="64"/>
  </r>
  <r>
    <s v="176-10000089"/>
    <x v="1"/>
    <x v="3"/>
    <x v="0"/>
    <n v="1496"/>
    <n v="389"/>
    <s v="USD"/>
    <x v="0"/>
    <x v="33"/>
  </r>
  <r>
    <s v="176-10000090"/>
    <x v="3"/>
    <x v="1"/>
    <x v="0"/>
    <n v="1741"/>
    <n v="200"/>
    <s v="USD"/>
    <x v="3"/>
    <x v="29"/>
  </r>
  <r>
    <s v="176-10000091"/>
    <x v="1"/>
    <x v="0"/>
    <x v="0"/>
    <n v="1213"/>
    <n v="175"/>
    <s v="USD"/>
    <x v="1"/>
    <x v="5"/>
  </r>
  <r>
    <s v="176-10000092"/>
    <x v="3"/>
    <x v="0"/>
    <x v="2"/>
    <n v="189"/>
    <n v="350"/>
    <s v="USD"/>
    <x v="2"/>
    <x v="47"/>
  </r>
  <r>
    <s v="176-10000093"/>
    <x v="5"/>
    <x v="3"/>
    <x v="0"/>
    <n v="1922"/>
    <n v="357"/>
    <s v="USD"/>
    <x v="1"/>
    <x v="65"/>
  </r>
  <r>
    <s v="176-10000094"/>
    <x v="0"/>
    <x v="3"/>
    <x v="0"/>
    <n v="1462"/>
    <n v="385"/>
    <s v="USD"/>
    <x v="2"/>
    <x v="66"/>
  </r>
  <r>
    <s v="176-10000095"/>
    <x v="0"/>
    <x v="2"/>
    <x v="0"/>
    <n v="1435"/>
    <n v="283"/>
    <s v="USD"/>
    <x v="2"/>
    <x v="67"/>
  </r>
  <r>
    <s v="176-10000096"/>
    <x v="0"/>
    <x v="0"/>
    <x v="1"/>
    <n v="365"/>
    <n v="57"/>
    <s v="USD"/>
    <x v="1"/>
    <x v="37"/>
  </r>
  <r>
    <s v="176-10000097"/>
    <x v="1"/>
    <x v="2"/>
    <x v="0"/>
    <n v="1320"/>
    <n v="390"/>
    <s v="USD"/>
    <x v="2"/>
    <x v="68"/>
  </r>
  <r>
    <s v="176-10000098"/>
    <x v="5"/>
    <x v="3"/>
    <x v="0"/>
    <n v="485"/>
    <n v="178"/>
    <s v="USD"/>
    <x v="2"/>
    <x v="47"/>
  </r>
  <r>
    <s v="176-10000099"/>
    <x v="1"/>
    <x v="3"/>
    <x v="0"/>
    <n v="1341"/>
    <n v="313"/>
    <s v="USD"/>
    <x v="3"/>
    <x v="69"/>
  </r>
  <r>
    <s v="176-10000100"/>
    <x v="1"/>
    <x v="1"/>
    <x v="0"/>
    <n v="241"/>
    <n v="206"/>
    <s v="USD"/>
    <x v="0"/>
    <x v="70"/>
  </r>
  <r>
    <s v="176-10000101"/>
    <x v="5"/>
    <x v="0"/>
    <x v="0"/>
    <n v="502"/>
    <n v="54"/>
    <s v="USD"/>
    <x v="0"/>
    <x v="69"/>
  </r>
  <r>
    <s v="176-10000102"/>
    <x v="5"/>
    <x v="2"/>
    <x v="0"/>
    <n v="720"/>
    <n v="135"/>
    <s v="USD"/>
    <x v="3"/>
    <x v="16"/>
  </r>
  <r>
    <s v="176-10000103"/>
    <x v="5"/>
    <x v="3"/>
    <x v="0"/>
    <n v="1744"/>
    <n v="224"/>
    <s v="USD"/>
    <x v="1"/>
    <x v="71"/>
  </r>
  <r>
    <s v="176-10000104"/>
    <x v="5"/>
    <x v="3"/>
    <x v="0"/>
    <n v="965"/>
    <n v="339"/>
    <s v="USD"/>
    <x v="4"/>
    <x v="24"/>
  </r>
  <r>
    <s v="176-10000105"/>
    <x v="0"/>
    <x v="2"/>
    <x v="0"/>
    <n v="1854"/>
    <n v="242"/>
    <s v="USD"/>
    <x v="4"/>
    <x v="72"/>
  </r>
  <r>
    <s v="176-10000106"/>
    <x v="2"/>
    <x v="1"/>
    <x v="0"/>
    <n v="930"/>
    <n v="360"/>
    <s v="USD"/>
    <x v="4"/>
    <x v="73"/>
  </r>
  <r>
    <s v="176-10000107"/>
    <x v="2"/>
    <x v="3"/>
    <x v="0"/>
    <n v="512"/>
    <n v="168"/>
    <s v="USD"/>
    <x v="3"/>
    <x v="16"/>
  </r>
  <r>
    <s v="176-10000108"/>
    <x v="5"/>
    <x v="0"/>
    <x v="0"/>
    <n v="706"/>
    <n v="267"/>
    <s v="USD"/>
    <x v="3"/>
    <x v="25"/>
  </r>
  <r>
    <s v="176-10000109"/>
    <x v="2"/>
    <x v="3"/>
    <x v="0"/>
    <n v="1518"/>
    <n v="163"/>
    <s v="USD"/>
    <x v="2"/>
    <x v="63"/>
  </r>
  <r>
    <s v="176-10000110"/>
    <x v="2"/>
    <x v="0"/>
    <x v="0"/>
    <n v="1866"/>
    <n v="194"/>
    <s v="USD"/>
    <x v="4"/>
    <x v="18"/>
  </r>
  <r>
    <s v="176-10000111"/>
    <x v="5"/>
    <x v="2"/>
    <x v="0"/>
    <n v="1343"/>
    <n v="75"/>
    <s v="USD"/>
    <x v="1"/>
    <x v="58"/>
  </r>
  <r>
    <s v="176-10000112"/>
    <x v="2"/>
    <x v="0"/>
    <x v="0"/>
    <n v="505"/>
    <n v="185"/>
    <s v="USD"/>
    <x v="1"/>
    <x v="35"/>
  </r>
  <r>
    <s v="176-10000113"/>
    <x v="1"/>
    <x v="2"/>
    <x v="2"/>
    <n v="340"/>
    <n v="352"/>
    <s v="USD"/>
    <x v="4"/>
    <x v="21"/>
  </r>
  <r>
    <s v="176-10000114"/>
    <x v="3"/>
    <x v="0"/>
    <x v="0"/>
    <n v="1840"/>
    <n v="281"/>
    <s v="USD"/>
    <x v="4"/>
    <x v="74"/>
  </r>
  <r>
    <s v="176-10000115"/>
    <x v="3"/>
    <x v="2"/>
    <x v="1"/>
    <n v="571"/>
    <n v="125"/>
    <s v="USD"/>
    <x v="4"/>
    <x v="75"/>
  </r>
  <r>
    <s v="176-10000116"/>
    <x v="5"/>
    <x v="0"/>
    <x v="0"/>
    <n v="849"/>
    <n v="377"/>
    <s v="USD"/>
    <x v="3"/>
    <x v="76"/>
  </r>
  <r>
    <s v="176-10000117"/>
    <x v="0"/>
    <x v="1"/>
    <x v="0"/>
    <n v="156"/>
    <n v="394"/>
    <s v="USD"/>
    <x v="3"/>
    <x v="56"/>
  </r>
  <r>
    <s v="176-10000118"/>
    <x v="5"/>
    <x v="0"/>
    <x v="1"/>
    <n v="282"/>
    <n v="351"/>
    <s v="USD"/>
    <x v="3"/>
    <x v="77"/>
  </r>
  <r>
    <s v="176-10000119"/>
    <x v="0"/>
    <x v="0"/>
    <x v="0"/>
    <n v="1920"/>
    <n v="338"/>
    <s v="USD"/>
    <x v="0"/>
    <x v="58"/>
  </r>
  <r>
    <s v="176-10000120"/>
    <x v="3"/>
    <x v="1"/>
    <x v="0"/>
    <n v="706"/>
    <n v="50"/>
    <s v="USD"/>
    <x v="1"/>
    <x v="78"/>
  </r>
  <r>
    <s v="176-10000121"/>
    <x v="5"/>
    <x v="3"/>
    <x v="0"/>
    <n v="975"/>
    <n v="196"/>
    <s v="USD"/>
    <x v="1"/>
    <x v="1"/>
  </r>
  <r>
    <s v="176-10000122"/>
    <x v="4"/>
    <x v="3"/>
    <x v="0"/>
    <n v="910"/>
    <n v="336"/>
    <s v="USD"/>
    <x v="2"/>
    <x v="42"/>
  </r>
  <r>
    <s v="176-10000123"/>
    <x v="1"/>
    <x v="0"/>
    <x v="2"/>
    <n v="1204"/>
    <n v="191"/>
    <s v="USD"/>
    <x v="3"/>
    <x v="46"/>
  </r>
  <r>
    <s v="176-10000124"/>
    <x v="2"/>
    <x v="1"/>
    <x v="1"/>
    <n v="684"/>
    <n v="102"/>
    <s v="USD"/>
    <x v="0"/>
    <x v="49"/>
  </r>
  <r>
    <s v="176-10000125"/>
    <x v="0"/>
    <x v="0"/>
    <x v="2"/>
    <n v="575"/>
    <n v="353"/>
    <s v="USD"/>
    <x v="0"/>
    <x v="13"/>
  </r>
  <r>
    <s v="176-10000126"/>
    <x v="4"/>
    <x v="2"/>
    <x v="0"/>
    <n v="1567"/>
    <n v="118"/>
    <s v="USD"/>
    <x v="1"/>
    <x v="35"/>
  </r>
  <r>
    <s v="176-10000127"/>
    <x v="2"/>
    <x v="2"/>
    <x v="1"/>
    <n v="821"/>
    <n v="139"/>
    <s v="USD"/>
    <x v="3"/>
    <x v="51"/>
  </r>
  <r>
    <s v="176-10000128"/>
    <x v="2"/>
    <x v="0"/>
    <x v="2"/>
    <n v="512"/>
    <n v="269"/>
    <s v="USD"/>
    <x v="2"/>
    <x v="24"/>
  </r>
  <r>
    <s v="176-10000129"/>
    <x v="5"/>
    <x v="3"/>
    <x v="0"/>
    <n v="1610"/>
    <n v="241"/>
    <s v="USD"/>
    <x v="3"/>
    <x v="79"/>
  </r>
  <r>
    <s v="176-10000130"/>
    <x v="2"/>
    <x v="3"/>
    <x v="0"/>
    <n v="1843"/>
    <n v="112"/>
    <s v="USD"/>
    <x v="4"/>
    <x v="80"/>
  </r>
  <r>
    <s v="176-10000131"/>
    <x v="1"/>
    <x v="0"/>
    <x v="1"/>
    <n v="1724"/>
    <n v="122"/>
    <s v="USD"/>
    <x v="3"/>
    <x v="81"/>
  </r>
  <r>
    <s v="176-10000132"/>
    <x v="4"/>
    <x v="0"/>
    <x v="0"/>
    <n v="231"/>
    <n v="210"/>
    <s v="USD"/>
    <x v="4"/>
    <x v="10"/>
  </r>
  <r>
    <s v="176-10000133"/>
    <x v="2"/>
    <x v="2"/>
    <x v="1"/>
    <n v="505"/>
    <n v="218"/>
    <s v="USD"/>
    <x v="4"/>
    <x v="33"/>
  </r>
  <r>
    <s v="176-10000134"/>
    <x v="5"/>
    <x v="3"/>
    <x v="0"/>
    <n v="1431"/>
    <n v="138"/>
    <s v="USD"/>
    <x v="2"/>
    <x v="82"/>
  </r>
  <r>
    <s v="176-10000135"/>
    <x v="1"/>
    <x v="0"/>
    <x v="1"/>
    <n v="1891"/>
    <n v="225"/>
    <s v="USD"/>
    <x v="1"/>
    <x v="15"/>
  </r>
  <r>
    <s v="176-10000136"/>
    <x v="3"/>
    <x v="2"/>
    <x v="0"/>
    <n v="738"/>
    <n v="318"/>
    <s v="USD"/>
    <x v="3"/>
    <x v="29"/>
  </r>
  <r>
    <s v="176-10000137"/>
    <x v="4"/>
    <x v="3"/>
    <x v="0"/>
    <n v="1697"/>
    <n v="122"/>
    <s v="USD"/>
    <x v="4"/>
    <x v="81"/>
  </r>
  <r>
    <s v="176-10000138"/>
    <x v="2"/>
    <x v="1"/>
    <x v="0"/>
    <n v="444"/>
    <n v="294"/>
    <s v="USD"/>
    <x v="3"/>
    <x v="23"/>
  </r>
  <r>
    <s v="176-10000139"/>
    <x v="5"/>
    <x v="2"/>
    <x v="1"/>
    <n v="1397"/>
    <n v="126"/>
    <s v="USD"/>
    <x v="1"/>
    <x v="48"/>
  </r>
  <r>
    <s v="176-10000140"/>
    <x v="3"/>
    <x v="3"/>
    <x v="0"/>
    <n v="1698"/>
    <n v="208"/>
    <s v="USD"/>
    <x v="1"/>
    <x v="83"/>
  </r>
  <r>
    <s v="176-10000141"/>
    <x v="3"/>
    <x v="3"/>
    <x v="0"/>
    <n v="1219"/>
    <n v="373"/>
    <s v="USD"/>
    <x v="0"/>
    <x v="81"/>
  </r>
  <r>
    <s v="176-10000142"/>
    <x v="0"/>
    <x v="2"/>
    <x v="0"/>
    <n v="1840"/>
    <n v="147"/>
    <s v="USD"/>
    <x v="1"/>
    <x v="35"/>
  </r>
  <r>
    <s v="176-10000143"/>
    <x v="1"/>
    <x v="1"/>
    <x v="1"/>
    <n v="1286"/>
    <n v="151"/>
    <s v="USD"/>
    <x v="2"/>
    <x v="84"/>
  </r>
  <r>
    <s v="176-10000144"/>
    <x v="2"/>
    <x v="2"/>
    <x v="0"/>
    <n v="1406"/>
    <n v="181"/>
    <s v="USD"/>
    <x v="4"/>
    <x v="85"/>
  </r>
  <r>
    <s v="176-10000145"/>
    <x v="5"/>
    <x v="3"/>
    <x v="1"/>
    <n v="166"/>
    <n v="151"/>
    <s v="USD"/>
    <x v="0"/>
    <x v="86"/>
  </r>
  <r>
    <s v="176-10000146"/>
    <x v="0"/>
    <x v="0"/>
    <x v="0"/>
    <n v="509"/>
    <n v="68"/>
    <s v="USD"/>
    <x v="2"/>
    <x v="87"/>
  </r>
  <r>
    <s v="176-10000147"/>
    <x v="1"/>
    <x v="0"/>
    <x v="0"/>
    <n v="1396"/>
    <n v="131"/>
    <s v="USD"/>
    <x v="3"/>
    <x v="19"/>
  </r>
  <r>
    <s v="176-10000148"/>
    <x v="0"/>
    <x v="2"/>
    <x v="0"/>
    <n v="1015"/>
    <n v="328"/>
    <s v="USD"/>
    <x v="4"/>
    <x v="88"/>
  </r>
  <r>
    <s v="176-10000149"/>
    <x v="4"/>
    <x v="3"/>
    <x v="0"/>
    <n v="849"/>
    <n v="388"/>
    <s v="USD"/>
    <x v="1"/>
    <x v="89"/>
  </r>
  <r>
    <s v="176-10000150"/>
    <x v="1"/>
    <x v="0"/>
    <x v="1"/>
    <n v="597"/>
    <n v="380"/>
    <s v="USD"/>
    <x v="4"/>
    <x v="9"/>
  </r>
  <r>
    <s v="176-10000151"/>
    <x v="1"/>
    <x v="3"/>
    <x v="0"/>
    <n v="1005"/>
    <n v="178"/>
    <s v="USD"/>
    <x v="3"/>
    <x v="13"/>
  </r>
  <r>
    <s v="176-10000152"/>
    <x v="2"/>
    <x v="2"/>
    <x v="0"/>
    <n v="514"/>
    <n v="393"/>
    <s v="USD"/>
    <x v="0"/>
    <x v="74"/>
  </r>
  <r>
    <s v="176-10000153"/>
    <x v="1"/>
    <x v="0"/>
    <x v="1"/>
    <n v="824"/>
    <n v="359"/>
    <s v="USD"/>
    <x v="0"/>
    <x v="90"/>
  </r>
  <r>
    <s v="176-10000154"/>
    <x v="0"/>
    <x v="3"/>
    <x v="0"/>
    <n v="1157"/>
    <n v="138"/>
    <s v="USD"/>
    <x v="0"/>
    <x v="5"/>
  </r>
  <r>
    <s v="176-10000155"/>
    <x v="1"/>
    <x v="0"/>
    <x v="0"/>
    <n v="1499"/>
    <n v="262"/>
    <s v="USD"/>
    <x v="1"/>
    <x v="35"/>
  </r>
  <r>
    <s v="176-10000156"/>
    <x v="2"/>
    <x v="2"/>
    <x v="2"/>
    <n v="616"/>
    <n v="192"/>
    <s v="USD"/>
    <x v="2"/>
    <x v="12"/>
  </r>
  <r>
    <s v="176-10000157"/>
    <x v="2"/>
    <x v="3"/>
    <x v="0"/>
    <n v="563"/>
    <n v="114"/>
    <s v="USD"/>
    <x v="2"/>
    <x v="38"/>
  </r>
  <r>
    <s v="176-10000158"/>
    <x v="4"/>
    <x v="0"/>
    <x v="0"/>
    <n v="1628"/>
    <n v="125"/>
    <s v="USD"/>
    <x v="4"/>
    <x v="20"/>
  </r>
  <r>
    <s v="176-10000159"/>
    <x v="0"/>
    <x v="2"/>
    <x v="2"/>
    <n v="735"/>
    <n v="248"/>
    <s v="USD"/>
    <x v="1"/>
    <x v="91"/>
  </r>
  <r>
    <s v="176-10000160"/>
    <x v="3"/>
    <x v="0"/>
    <x v="0"/>
    <n v="1406"/>
    <n v="192"/>
    <s v="USD"/>
    <x v="0"/>
    <x v="32"/>
  </r>
  <r>
    <s v="176-10000161"/>
    <x v="3"/>
    <x v="0"/>
    <x v="0"/>
    <n v="1397"/>
    <n v="365"/>
    <s v="USD"/>
    <x v="0"/>
    <x v="92"/>
  </r>
  <r>
    <s v="176-10000162"/>
    <x v="1"/>
    <x v="1"/>
    <x v="0"/>
    <n v="1143"/>
    <n v="142"/>
    <s v="USD"/>
    <x v="3"/>
    <x v="13"/>
  </r>
  <r>
    <s v="176-10000163"/>
    <x v="4"/>
    <x v="1"/>
    <x v="1"/>
    <n v="1585"/>
    <n v="354"/>
    <s v="USD"/>
    <x v="3"/>
    <x v="62"/>
  </r>
  <r>
    <s v="176-10000164"/>
    <x v="5"/>
    <x v="2"/>
    <x v="0"/>
    <n v="721"/>
    <n v="273"/>
    <s v="USD"/>
    <x v="0"/>
    <x v="93"/>
  </r>
  <r>
    <s v="176-10000165"/>
    <x v="1"/>
    <x v="1"/>
    <x v="0"/>
    <n v="484"/>
    <n v="340"/>
    <s v="USD"/>
    <x v="0"/>
    <x v="34"/>
  </r>
  <r>
    <s v="176-10000166"/>
    <x v="4"/>
    <x v="2"/>
    <x v="1"/>
    <n v="1395"/>
    <n v="151"/>
    <s v="USD"/>
    <x v="1"/>
    <x v="68"/>
  </r>
  <r>
    <s v="176-10000167"/>
    <x v="0"/>
    <x v="1"/>
    <x v="1"/>
    <n v="186"/>
    <n v="316"/>
    <s v="USD"/>
    <x v="2"/>
    <x v="32"/>
  </r>
  <r>
    <s v="176-10000168"/>
    <x v="0"/>
    <x v="0"/>
    <x v="0"/>
    <n v="1138"/>
    <n v="159"/>
    <s v="USD"/>
    <x v="3"/>
    <x v="54"/>
  </r>
  <r>
    <s v="176-10000169"/>
    <x v="0"/>
    <x v="2"/>
    <x v="0"/>
    <n v="427"/>
    <n v="379"/>
    <s v="USD"/>
    <x v="2"/>
    <x v="1"/>
  </r>
  <r>
    <s v="176-10000170"/>
    <x v="0"/>
    <x v="2"/>
    <x v="0"/>
    <n v="1369"/>
    <n v="314"/>
    <s v="USD"/>
    <x v="1"/>
    <x v="94"/>
  </r>
  <r>
    <s v="176-10000171"/>
    <x v="0"/>
    <x v="0"/>
    <x v="1"/>
    <n v="1065"/>
    <n v="52"/>
    <s v="USD"/>
    <x v="0"/>
    <x v="41"/>
  </r>
  <r>
    <s v="176-10000172"/>
    <x v="4"/>
    <x v="2"/>
    <x v="0"/>
    <n v="633"/>
    <n v="134"/>
    <s v="USD"/>
    <x v="2"/>
    <x v="11"/>
  </r>
  <r>
    <s v="176-10000173"/>
    <x v="4"/>
    <x v="2"/>
    <x v="0"/>
    <n v="1415"/>
    <n v="331"/>
    <s v="USD"/>
    <x v="0"/>
    <x v="37"/>
  </r>
  <r>
    <s v="176-10000174"/>
    <x v="2"/>
    <x v="1"/>
    <x v="1"/>
    <n v="1497"/>
    <n v="377"/>
    <s v="USD"/>
    <x v="0"/>
    <x v="95"/>
  </r>
  <r>
    <s v="176-10000175"/>
    <x v="3"/>
    <x v="2"/>
    <x v="1"/>
    <n v="880"/>
    <n v="353"/>
    <s v="USD"/>
    <x v="4"/>
    <x v="54"/>
  </r>
  <r>
    <s v="176-10000176"/>
    <x v="0"/>
    <x v="3"/>
    <x v="0"/>
    <n v="341"/>
    <n v="166"/>
    <s v="USD"/>
    <x v="2"/>
    <x v="27"/>
  </r>
  <r>
    <s v="176-10000177"/>
    <x v="5"/>
    <x v="0"/>
    <x v="1"/>
    <n v="1190"/>
    <n v="270"/>
    <s v="USD"/>
    <x v="2"/>
    <x v="37"/>
  </r>
  <r>
    <s v="176-10000178"/>
    <x v="4"/>
    <x v="1"/>
    <x v="0"/>
    <n v="673"/>
    <n v="203"/>
    <s v="USD"/>
    <x v="0"/>
    <x v="96"/>
  </r>
  <r>
    <s v="176-10000179"/>
    <x v="5"/>
    <x v="1"/>
    <x v="1"/>
    <n v="1067"/>
    <n v="202"/>
    <s v="USD"/>
    <x v="1"/>
    <x v="67"/>
  </r>
  <r>
    <s v="176-10000180"/>
    <x v="5"/>
    <x v="3"/>
    <x v="0"/>
    <n v="550"/>
    <n v="61"/>
    <s v="USD"/>
    <x v="4"/>
    <x v="97"/>
  </r>
  <r>
    <s v="176-10000181"/>
    <x v="5"/>
    <x v="0"/>
    <x v="0"/>
    <n v="1035"/>
    <n v="182"/>
    <s v="USD"/>
    <x v="0"/>
    <x v="98"/>
  </r>
  <r>
    <s v="176-10000182"/>
    <x v="2"/>
    <x v="0"/>
    <x v="1"/>
    <n v="854"/>
    <n v="353"/>
    <s v="USD"/>
    <x v="3"/>
    <x v="62"/>
  </r>
  <r>
    <s v="176-10000183"/>
    <x v="4"/>
    <x v="1"/>
    <x v="0"/>
    <n v="171"/>
    <n v="342"/>
    <s v="USD"/>
    <x v="3"/>
    <x v="94"/>
  </r>
  <r>
    <s v="176-10000184"/>
    <x v="5"/>
    <x v="2"/>
    <x v="0"/>
    <n v="623"/>
    <n v="349"/>
    <s v="USD"/>
    <x v="4"/>
    <x v="58"/>
  </r>
  <r>
    <s v="176-10000185"/>
    <x v="0"/>
    <x v="1"/>
    <x v="1"/>
    <n v="1293"/>
    <n v="277"/>
    <s v="USD"/>
    <x v="1"/>
    <x v="99"/>
  </r>
  <r>
    <s v="176-10000186"/>
    <x v="1"/>
    <x v="0"/>
    <x v="1"/>
    <n v="359"/>
    <n v="320"/>
    <s v="USD"/>
    <x v="0"/>
    <x v="43"/>
  </r>
  <r>
    <s v="176-10000187"/>
    <x v="5"/>
    <x v="3"/>
    <x v="0"/>
    <n v="455"/>
    <n v="92"/>
    <s v="USD"/>
    <x v="2"/>
    <x v="73"/>
  </r>
  <r>
    <s v="176-10000188"/>
    <x v="2"/>
    <x v="1"/>
    <x v="0"/>
    <n v="1443"/>
    <n v="392"/>
    <s v="USD"/>
    <x v="4"/>
    <x v="4"/>
  </r>
  <r>
    <s v="176-10000189"/>
    <x v="4"/>
    <x v="0"/>
    <x v="0"/>
    <n v="853"/>
    <n v="375"/>
    <s v="USD"/>
    <x v="1"/>
    <x v="94"/>
  </r>
  <r>
    <s v="176-10000190"/>
    <x v="2"/>
    <x v="1"/>
    <x v="0"/>
    <n v="836"/>
    <n v="351"/>
    <s v="USD"/>
    <x v="2"/>
    <x v="75"/>
  </r>
  <r>
    <s v="176-10000191"/>
    <x v="5"/>
    <x v="2"/>
    <x v="0"/>
    <n v="434"/>
    <n v="70"/>
    <s v="USD"/>
    <x v="3"/>
    <x v="20"/>
  </r>
  <r>
    <s v="176-10000192"/>
    <x v="4"/>
    <x v="1"/>
    <x v="0"/>
    <n v="865"/>
    <n v="156"/>
    <s v="USD"/>
    <x v="3"/>
    <x v="64"/>
  </r>
  <r>
    <s v="176-10000193"/>
    <x v="1"/>
    <x v="1"/>
    <x v="2"/>
    <n v="1849"/>
    <n v="385"/>
    <s v="USD"/>
    <x v="2"/>
    <x v="26"/>
  </r>
  <r>
    <s v="176-10000194"/>
    <x v="5"/>
    <x v="0"/>
    <x v="0"/>
    <n v="912"/>
    <n v="352"/>
    <s v="USD"/>
    <x v="4"/>
    <x v="56"/>
  </r>
  <r>
    <s v="176-10000195"/>
    <x v="2"/>
    <x v="0"/>
    <x v="0"/>
    <n v="1400"/>
    <n v="166"/>
    <s v="USD"/>
    <x v="3"/>
    <x v="100"/>
  </r>
  <r>
    <s v="176-10000196"/>
    <x v="3"/>
    <x v="0"/>
    <x v="0"/>
    <n v="1097"/>
    <n v="173"/>
    <s v="USD"/>
    <x v="0"/>
    <x v="27"/>
  </r>
  <r>
    <s v="176-10000197"/>
    <x v="0"/>
    <x v="1"/>
    <x v="2"/>
    <n v="530"/>
    <n v="330"/>
    <s v="USD"/>
    <x v="2"/>
    <x v="81"/>
  </r>
  <r>
    <s v="176-10000198"/>
    <x v="2"/>
    <x v="2"/>
    <x v="0"/>
    <n v="609"/>
    <n v="341"/>
    <s v="USD"/>
    <x v="2"/>
    <x v="50"/>
  </r>
  <r>
    <s v="176-10000199"/>
    <x v="4"/>
    <x v="3"/>
    <x v="0"/>
    <n v="1180"/>
    <n v="252"/>
    <s v="USD"/>
    <x v="3"/>
    <x v="17"/>
  </r>
  <r>
    <s v="176-10000200"/>
    <x v="5"/>
    <x v="3"/>
    <x v="0"/>
    <n v="178"/>
    <n v="100"/>
    <s v="USD"/>
    <x v="4"/>
    <x v="99"/>
  </r>
  <r>
    <s v="176-10000201"/>
    <x v="0"/>
    <x v="0"/>
    <x v="0"/>
    <n v="1056"/>
    <n v="320"/>
    <s v="USD"/>
    <x v="0"/>
    <x v="54"/>
  </r>
  <r>
    <s v="176-10000202"/>
    <x v="5"/>
    <x v="0"/>
    <x v="0"/>
    <n v="1206"/>
    <n v="373"/>
    <s v="USD"/>
    <x v="4"/>
    <x v="27"/>
  </r>
  <r>
    <s v="176-10000203"/>
    <x v="4"/>
    <x v="1"/>
    <x v="1"/>
    <n v="1819"/>
    <n v="326"/>
    <s v="USD"/>
    <x v="1"/>
    <x v="98"/>
  </r>
  <r>
    <s v="176-10000204"/>
    <x v="5"/>
    <x v="3"/>
    <x v="2"/>
    <n v="1028"/>
    <n v="190"/>
    <s v="USD"/>
    <x v="1"/>
    <x v="101"/>
  </r>
  <r>
    <s v="176-10000205"/>
    <x v="3"/>
    <x v="0"/>
    <x v="0"/>
    <n v="228"/>
    <n v="324"/>
    <s v="USD"/>
    <x v="3"/>
    <x v="66"/>
  </r>
  <r>
    <s v="176-10000206"/>
    <x v="0"/>
    <x v="2"/>
    <x v="0"/>
    <n v="1096"/>
    <n v="339"/>
    <s v="USD"/>
    <x v="3"/>
    <x v="102"/>
  </r>
  <r>
    <s v="176-10000207"/>
    <x v="0"/>
    <x v="2"/>
    <x v="2"/>
    <n v="608"/>
    <n v="383"/>
    <s v="USD"/>
    <x v="3"/>
    <x v="103"/>
  </r>
  <r>
    <s v="176-10000208"/>
    <x v="4"/>
    <x v="0"/>
    <x v="1"/>
    <n v="719"/>
    <n v="101"/>
    <s v="USD"/>
    <x v="1"/>
    <x v="34"/>
  </r>
  <r>
    <s v="176-10000209"/>
    <x v="3"/>
    <x v="0"/>
    <x v="0"/>
    <n v="1711"/>
    <n v="76"/>
    <s v="USD"/>
    <x v="4"/>
    <x v="68"/>
  </r>
  <r>
    <s v="176-10000210"/>
    <x v="2"/>
    <x v="3"/>
    <x v="0"/>
    <n v="1655"/>
    <n v="206"/>
    <s v="USD"/>
    <x v="4"/>
    <x v="4"/>
  </r>
  <r>
    <s v="176-10000211"/>
    <x v="5"/>
    <x v="3"/>
    <x v="0"/>
    <n v="1603"/>
    <n v="288"/>
    <s v="USD"/>
    <x v="3"/>
    <x v="33"/>
  </r>
  <r>
    <s v="176-10000212"/>
    <x v="1"/>
    <x v="1"/>
    <x v="0"/>
    <n v="887"/>
    <n v="205"/>
    <s v="USD"/>
    <x v="0"/>
    <x v="4"/>
  </r>
  <r>
    <s v="176-10000213"/>
    <x v="5"/>
    <x v="3"/>
    <x v="1"/>
    <n v="1458"/>
    <n v="340"/>
    <s v="USD"/>
    <x v="4"/>
    <x v="70"/>
  </r>
  <r>
    <s v="176-10000214"/>
    <x v="5"/>
    <x v="2"/>
    <x v="2"/>
    <n v="665"/>
    <n v="185"/>
    <s v="USD"/>
    <x v="1"/>
    <x v="89"/>
  </r>
  <r>
    <s v="176-10000215"/>
    <x v="2"/>
    <x v="2"/>
    <x v="2"/>
    <n v="1272"/>
    <n v="193"/>
    <s v="USD"/>
    <x v="2"/>
    <x v="8"/>
  </r>
  <r>
    <s v="176-10000216"/>
    <x v="5"/>
    <x v="0"/>
    <x v="0"/>
    <n v="546"/>
    <n v="155"/>
    <s v="USD"/>
    <x v="2"/>
    <x v="40"/>
  </r>
  <r>
    <s v="176-10000217"/>
    <x v="3"/>
    <x v="3"/>
    <x v="0"/>
    <n v="1662"/>
    <n v="207"/>
    <s v="USD"/>
    <x v="2"/>
    <x v="99"/>
  </r>
  <r>
    <s v="176-10000218"/>
    <x v="3"/>
    <x v="1"/>
    <x v="2"/>
    <n v="188"/>
    <n v="195"/>
    <s v="USD"/>
    <x v="0"/>
    <x v="104"/>
  </r>
  <r>
    <s v="176-10000219"/>
    <x v="0"/>
    <x v="2"/>
    <x v="1"/>
    <n v="1444"/>
    <n v="51"/>
    <s v="USD"/>
    <x v="3"/>
    <x v="26"/>
  </r>
  <r>
    <s v="176-10000220"/>
    <x v="4"/>
    <x v="2"/>
    <x v="0"/>
    <n v="1036"/>
    <n v="126"/>
    <s v="USD"/>
    <x v="1"/>
    <x v="105"/>
  </r>
  <r>
    <s v="176-10000221"/>
    <x v="1"/>
    <x v="1"/>
    <x v="2"/>
    <n v="946"/>
    <n v="181"/>
    <s v="USD"/>
    <x v="0"/>
    <x v="64"/>
  </r>
  <r>
    <s v="176-10000222"/>
    <x v="5"/>
    <x v="1"/>
    <x v="1"/>
    <n v="306"/>
    <n v="139"/>
    <s v="USD"/>
    <x v="1"/>
    <x v="94"/>
  </r>
  <r>
    <s v="176-10000223"/>
    <x v="5"/>
    <x v="2"/>
    <x v="0"/>
    <n v="1248"/>
    <n v="394"/>
    <s v="USD"/>
    <x v="1"/>
    <x v="69"/>
  </r>
  <r>
    <s v="176-10000224"/>
    <x v="2"/>
    <x v="2"/>
    <x v="0"/>
    <n v="1033"/>
    <n v="399"/>
    <s v="USD"/>
    <x v="3"/>
    <x v="59"/>
  </r>
  <r>
    <s v="176-10000225"/>
    <x v="4"/>
    <x v="1"/>
    <x v="0"/>
    <n v="1973"/>
    <n v="312"/>
    <s v="USD"/>
    <x v="2"/>
    <x v="63"/>
  </r>
  <r>
    <s v="176-10000226"/>
    <x v="3"/>
    <x v="2"/>
    <x v="0"/>
    <n v="1303"/>
    <n v="157"/>
    <s v="USD"/>
    <x v="3"/>
    <x v="1"/>
  </r>
  <r>
    <s v="176-10000227"/>
    <x v="1"/>
    <x v="0"/>
    <x v="0"/>
    <n v="1860"/>
    <n v="123"/>
    <s v="USD"/>
    <x v="0"/>
    <x v="92"/>
  </r>
  <r>
    <s v="176-10000228"/>
    <x v="0"/>
    <x v="0"/>
    <x v="1"/>
    <n v="1123"/>
    <n v="88"/>
    <s v="USD"/>
    <x v="0"/>
    <x v="87"/>
  </r>
  <r>
    <s v="176-10000229"/>
    <x v="3"/>
    <x v="1"/>
    <x v="0"/>
    <n v="1257"/>
    <n v="208"/>
    <s v="USD"/>
    <x v="0"/>
    <x v="52"/>
  </r>
  <r>
    <s v="176-10000230"/>
    <x v="4"/>
    <x v="3"/>
    <x v="0"/>
    <n v="1195"/>
    <n v="120"/>
    <s v="USD"/>
    <x v="3"/>
    <x v="59"/>
  </r>
  <r>
    <s v="176-10000231"/>
    <x v="0"/>
    <x v="1"/>
    <x v="0"/>
    <n v="1632"/>
    <n v="361"/>
    <s v="USD"/>
    <x v="1"/>
    <x v="87"/>
  </r>
  <r>
    <s v="176-10000232"/>
    <x v="2"/>
    <x v="1"/>
    <x v="0"/>
    <n v="1712"/>
    <n v="290"/>
    <s v="USD"/>
    <x v="1"/>
    <x v="29"/>
  </r>
  <r>
    <s v="176-10000233"/>
    <x v="2"/>
    <x v="3"/>
    <x v="2"/>
    <n v="1880"/>
    <n v="347"/>
    <s v="USD"/>
    <x v="4"/>
    <x v="37"/>
  </r>
  <r>
    <s v="176-10000234"/>
    <x v="5"/>
    <x v="3"/>
    <x v="0"/>
    <n v="998"/>
    <n v="85"/>
    <s v="USD"/>
    <x v="0"/>
    <x v="25"/>
  </r>
  <r>
    <s v="176-10000235"/>
    <x v="4"/>
    <x v="3"/>
    <x v="0"/>
    <n v="1555"/>
    <n v="133"/>
    <s v="USD"/>
    <x v="1"/>
    <x v="17"/>
  </r>
  <r>
    <s v="176-10000236"/>
    <x v="1"/>
    <x v="0"/>
    <x v="1"/>
    <n v="897"/>
    <n v="312"/>
    <s v="USD"/>
    <x v="4"/>
    <x v="59"/>
  </r>
  <r>
    <s v="176-10000237"/>
    <x v="0"/>
    <x v="2"/>
    <x v="0"/>
    <n v="1613"/>
    <n v="359"/>
    <s v="USD"/>
    <x v="1"/>
    <x v="10"/>
  </r>
  <r>
    <s v="176-10000238"/>
    <x v="3"/>
    <x v="0"/>
    <x v="0"/>
    <n v="1777"/>
    <n v="221"/>
    <s v="USD"/>
    <x v="0"/>
    <x v="64"/>
  </r>
  <r>
    <s v="176-10000239"/>
    <x v="4"/>
    <x v="2"/>
    <x v="0"/>
    <n v="1138"/>
    <n v="222"/>
    <s v="USD"/>
    <x v="2"/>
    <x v="60"/>
  </r>
  <r>
    <s v="176-10000240"/>
    <x v="4"/>
    <x v="0"/>
    <x v="0"/>
    <n v="170"/>
    <n v="96"/>
    <s v="USD"/>
    <x v="0"/>
    <x v="30"/>
  </r>
  <r>
    <s v="176-10000241"/>
    <x v="2"/>
    <x v="2"/>
    <x v="0"/>
    <n v="452"/>
    <n v="190"/>
    <s v="USD"/>
    <x v="3"/>
    <x v="11"/>
  </r>
  <r>
    <s v="176-10000242"/>
    <x v="5"/>
    <x v="0"/>
    <x v="0"/>
    <n v="1018"/>
    <n v="167"/>
    <s v="USD"/>
    <x v="1"/>
    <x v="8"/>
  </r>
  <r>
    <s v="176-10000243"/>
    <x v="5"/>
    <x v="3"/>
    <x v="0"/>
    <n v="233"/>
    <n v="326"/>
    <s v="USD"/>
    <x v="1"/>
    <x v="31"/>
  </r>
  <r>
    <s v="176-10000244"/>
    <x v="0"/>
    <x v="1"/>
    <x v="2"/>
    <n v="1947"/>
    <n v="263"/>
    <s v="USD"/>
    <x v="3"/>
    <x v="106"/>
  </r>
  <r>
    <s v="176-10000245"/>
    <x v="2"/>
    <x v="0"/>
    <x v="0"/>
    <n v="1832"/>
    <n v="269"/>
    <s v="USD"/>
    <x v="3"/>
    <x v="35"/>
  </r>
  <r>
    <s v="176-10000246"/>
    <x v="4"/>
    <x v="2"/>
    <x v="0"/>
    <n v="1626"/>
    <n v="75"/>
    <s v="USD"/>
    <x v="2"/>
    <x v="32"/>
  </r>
  <r>
    <s v="176-10000247"/>
    <x v="1"/>
    <x v="3"/>
    <x v="0"/>
    <n v="1560"/>
    <n v="58"/>
    <s v="USD"/>
    <x v="1"/>
    <x v="32"/>
  </r>
  <r>
    <s v="176-10000248"/>
    <x v="2"/>
    <x v="0"/>
    <x v="0"/>
    <n v="1680"/>
    <n v="320"/>
    <s v="USD"/>
    <x v="1"/>
    <x v="82"/>
  </r>
  <r>
    <s v="176-10000249"/>
    <x v="0"/>
    <x v="0"/>
    <x v="0"/>
    <n v="1430"/>
    <n v="59"/>
    <s v="USD"/>
    <x v="2"/>
    <x v="27"/>
  </r>
  <r>
    <s v="176-10000250"/>
    <x v="0"/>
    <x v="3"/>
    <x v="0"/>
    <n v="719"/>
    <n v="170"/>
    <s v="USD"/>
    <x v="4"/>
    <x v="85"/>
  </r>
  <r>
    <s v="176-10000251"/>
    <x v="2"/>
    <x v="0"/>
    <x v="2"/>
    <n v="1083"/>
    <n v="174"/>
    <s v="USD"/>
    <x v="2"/>
    <x v="37"/>
  </r>
  <r>
    <s v="176-10000252"/>
    <x v="0"/>
    <x v="1"/>
    <x v="0"/>
    <n v="1700"/>
    <n v="219"/>
    <s v="USD"/>
    <x v="0"/>
    <x v="81"/>
  </r>
  <r>
    <s v="176-10000253"/>
    <x v="2"/>
    <x v="0"/>
    <x v="0"/>
    <n v="1335"/>
    <n v="121"/>
    <s v="USD"/>
    <x v="1"/>
    <x v="99"/>
  </r>
  <r>
    <s v="176-10000254"/>
    <x v="3"/>
    <x v="1"/>
    <x v="0"/>
    <n v="1336"/>
    <n v="201"/>
    <s v="USD"/>
    <x v="3"/>
    <x v="71"/>
  </r>
  <r>
    <s v="176-10000255"/>
    <x v="2"/>
    <x v="1"/>
    <x v="2"/>
    <n v="1158"/>
    <n v="257"/>
    <s v="USD"/>
    <x v="0"/>
    <x v="93"/>
  </r>
  <r>
    <s v="176-10000256"/>
    <x v="2"/>
    <x v="3"/>
    <x v="0"/>
    <n v="942"/>
    <n v="98"/>
    <s v="USD"/>
    <x v="1"/>
    <x v="73"/>
  </r>
  <r>
    <s v="176-10000257"/>
    <x v="0"/>
    <x v="0"/>
    <x v="0"/>
    <n v="941"/>
    <n v="203"/>
    <s v="USD"/>
    <x v="2"/>
    <x v="36"/>
  </r>
  <r>
    <s v="176-10000258"/>
    <x v="0"/>
    <x v="3"/>
    <x v="0"/>
    <n v="1697"/>
    <n v="396"/>
    <s v="USD"/>
    <x v="0"/>
    <x v="34"/>
  </r>
  <r>
    <s v="176-10000259"/>
    <x v="5"/>
    <x v="0"/>
    <x v="1"/>
    <n v="1959"/>
    <n v="342"/>
    <s v="USD"/>
    <x v="1"/>
    <x v="21"/>
  </r>
  <r>
    <s v="176-10000260"/>
    <x v="5"/>
    <x v="0"/>
    <x v="0"/>
    <n v="1444"/>
    <n v="117"/>
    <s v="USD"/>
    <x v="4"/>
    <x v="39"/>
  </r>
  <r>
    <s v="176-10000261"/>
    <x v="3"/>
    <x v="2"/>
    <x v="1"/>
    <n v="641"/>
    <n v="99"/>
    <s v="USD"/>
    <x v="4"/>
    <x v="3"/>
  </r>
  <r>
    <s v="176-10000262"/>
    <x v="5"/>
    <x v="0"/>
    <x v="0"/>
    <n v="357"/>
    <n v="201"/>
    <s v="USD"/>
    <x v="3"/>
    <x v="10"/>
  </r>
  <r>
    <s v="176-10000263"/>
    <x v="2"/>
    <x v="3"/>
    <x v="0"/>
    <n v="1712"/>
    <n v="68"/>
    <s v="USD"/>
    <x v="1"/>
    <x v="36"/>
  </r>
  <r>
    <s v="176-10000264"/>
    <x v="0"/>
    <x v="1"/>
    <x v="0"/>
    <n v="1757"/>
    <n v="149"/>
    <s v="USD"/>
    <x v="4"/>
    <x v="23"/>
  </r>
  <r>
    <s v="176-10000265"/>
    <x v="5"/>
    <x v="0"/>
    <x v="0"/>
    <n v="1233"/>
    <n v="109"/>
    <s v="USD"/>
    <x v="2"/>
    <x v="77"/>
  </r>
  <r>
    <s v="176-10000266"/>
    <x v="5"/>
    <x v="2"/>
    <x v="0"/>
    <n v="579"/>
    <n v="216"/>
    <s v="USD"/>
    <x v="1"/>
    <x v="107"/>
  </r>
  <r>
    <s v="176-10000267"/>
    <x v="3"/>
    <x v="3"/>
    <x v="0"/>
    <n v="1134"/>
    <n v="251"/>
    <s v="USD"/>
    <x v="2"/>
    <x v="10"/>
  </r>
  <r>
    <s v="176-10000268"/>
    <x v="4"/>
    <x v="0"/>
    <x v="1"/>
    <n v="1830"/>
    <n v="394"/>
    <s v="USD"/>
    <x v="2"/>
    <x v="101"/>
  </r>
  <r>
    <s v="176-10000269"/>
    <x v="3"/>
    <x v="3"/>
    <x v="0"/>
    <n v="1778"/>
    <n v="195"/>
    <s v="USD"/>
    <x v="4"/>
    <x v="57"/>
  </r>
  <r>
    <s v="176-10000270"/>
    <x v="2"/>
    <x v="2"/>
    <x v="0"/>
    <n v="1482"/>
    <n v="213"/>
    <s v="USD"/>
    <x v="1"/>
    <x v="29"/>
  </r>
  <r>
    <s v="176-10000271"/>
    <x v="0"/>
    <x v="2"/>
    <x v="0"/>
    <n v="669"/>
    <n v="291"/>
    <s v="USD"/>
    <x v="0"/>
    <x v="20"/>
  </r>
  <r>
    <s v="176-10000272"/>
    <x v="3"/>
    <x v="3"/>
    <x v="0"/>
    <n v="740"/>
    <n v="118"/>
    <s v="USD"/>
    <x v="4"/>
    <x v="108"/>
  </r>
  <r>
    <s v="176-10000273"/>
    <x v="5"/>
    <x v="0"/>
    <x v="0"/>
    <n v="1200"/>
    <n v="224"/>
    <s v="USD"/>
    <x v="4"/>
    <x v="46"/>
  </r>
  <r>
    <s v="176-10000274"/>
    <x v="0"/>
    <x v="1"/>
    <x v="0"/>
    <n v="1859"/>
    <n v="98"/>
    <s v="USD"/>
    <x v="1"/>
    <x v="109"/>
  </r>
  <r>
    <s v="176-10000275"/>
    <x v="0"/>
    <x v="2"/>
    <x v="0"/>
    <n v="1735"/>
    <n v="157"/>
    <s v="USD"/>
    <x v="1"/>
    <x v="75"/>
  </r>
  <r>
    <s v="176-10000276"/>
    <x v="5"/>
    <x v="0"/>
    <x v="1"/>
    <n v="348"/>
    <n v="275"/>
    <s v="USD"/>
    <x v="2"/>
    <x v="50"/>
  </r>
  <r>
    <s v="176-10000277"/>
    <x v="3"/>
    <x v="0"/>
    <x v="2"/>
    <n v="536"/>
    <n v="210"/>
    <s v="USD"/>
    <x v="1"/>
    <x v="55"/>
  </r>
  <r>
    <s v="176-10000278"/>
    <x v="5"/>
    <x v="1"/>
    <x v="0"/>
    <n v="498"/>
    <n v="168"/>
    <s v="USD"/>
    <x v="2"/>
    <x v="80"/>
  </r>
  <r>
    <s v="176-10000279"/>
    <x v="4"/>
    <x v="2"/>
    <x v="0"/>
    <n v="1109"/>
    <n v="198"/>
    <s v="USD"/>
    <x v="4"/>
    <x v="14"/>
  </r>
  <r>
    <s v="176-10000280"/>
    <x v="0"/>
    <x v="2"/>
    <x v="0"/>
    <n v="842"/>
    <n v="199"/>
    <s v="USD"/>
    <x v="3"/>
    <x v="16"/>
  </r>
  <r>
    <s v="176-10000281"/>
    <x v="1"/>
    <x v="0"/>
    <x v="0"/>
    <n v="1709"/>
    <n v="342"/>
    <s v="USD"/>
    <x v="0"/>
    <x v="58"/>
  </r>
  <r>
    <s v="176-10000282"/>
    <x v="1"/>
    <x v="0"/>
    <x v="0"/>
    <n v="527"/>
    <n v="192"/>
    <s v="USD"/>
    <x v="4"/>
    <x v="110"/>
  </r>
  <r>
    <s v="176-10000283"/>
    <x v="2"/>
    <x v="1"/>
    <x v="0"/>
    <n v="1048"/>
    <n v="209"/>
    <s v="USD"/>
    <x v="1"/>
    <x v="93"/>
  </r>
  <r>
    <s v="176-10000284"/>
    <x v="5"/>
    <x v="1"/>
    <x v="1"/>
    <n v="1065"/>
    <n v="60"/>
    <s v="USD"/>
    <x v="0"/>
    <x v="69"/>
  </r>
  <r>
    <s v="176-10000285"/>
    <x v="5"/>
    <x v="2"/>
    <x v="0"/>
    <n v="1731"/>
    <n v="187"/>
    <s v="USD"/>
    <x v="3"/>
    <x v="15"/>
  </r>
  <r>
    <s v="176-10000286"/>
    <x v="2"/>
    <x v="3"/>
    <x v="0"/>
    <n v="676"/>
    <n v="127"/>
    <s v="USD"/>
    <x v="3"/>
    <x v="45"/>
  </r>
  <r>
    <s v="176-10000287"/>
    <x v="2"/>
    <x v="2"/>
    <x v="0"/>
    <n v="1326"/>
    <n v="126"/>
    <s v="USD"/>
    <x v="2"/>
    <x v="46"/>
  </r>
  <r>
    <s v="176-10000288"/>
    <x v="2"/>
    <x v="0"/>
    <x v="0"/>
    <n v="883"/>
    <n v="303"/>
    <s v="USD"/>
    <x v="0"/>
    <x v="44"/>
  </r>
  <r>
    <s v="176-10000289"/>
    <x v="0"/>
    <x v="2"/>
    <x v="0"/>
    <n v="355"/>
    <n v="307"/>
    <s v="USD"/>
    <x v="2"/>
    <x v="76"/>
  </r>
  <r>
    <s v="176-10000290"/>
    <x v="4"/>
    <x v="3"/>
    <x v="0"/>
    <n v="604"/>
    <n v="369"/>
    <s v="USD"/>
    <x v="4"/>
    <x v="35"/>
  </r>
  <r>
    <s v="176-10000291"/>
    <x v="5"/>
    <x v="1"/>
    <x v="0"/>
    <n v="1446"/>
    <n v="340"/>
    <s v="USD"/>
    <x v="0"/>
    <x v="32"/>
  </r>
  <r>
    <s v="176-10000292"/>
    <x v="0"/>
    <x v="3"/>
    <x v="1"/>
    <n v="1409"/>
    <n v="312"/>
    <s v="USD"/>
    <x v="4"/>
    <x v="4"/>
  </r>
  <r>
    <s v="176-10000293"/>
    <x v="2"/>
    <x v="3"/>
    <x v="0"/>
    <n v="1913"/>
    <n v="134"/>
    <s v="USD"/>
    <x v="2"/>
    <x v="68"/>
  </r>
  <r>
    <s v="176-10000294"/>
    <x v="5"/>
    <x v="3"/>
    <x v="0"/>
    <n v="670"/>
    <n v="195"/>
    <s v="USD"/>
    <x v="0"/>
    <x v="76"/>
  </r>
  <r>
    <s v="176-10000295"/>
    <x v="0"/>
    <x v="1"/>
    <x v="0"/>
    <n v="1851"/>
    <n v="372"/>
    <s v="USD"/>
    <x v="2"/>
    <x v="32"/>
  </r>
  <r>
    <s v="176-10000296"/>
    <x v="4"/>
    <x v="3"/>
    <x v="0"/>
    <n v="1166"/>
    <n v="91"/>
    <s v="USD"/>
    <x v="0"/>
    <x v="12"/>
  </r>
  <r>
    <s v="176-10000297"/>
    <x v="0"/>
    <x v="3"/>
    <x v="0"/>
    <n v="1105"/>
    <n v="174"/>
    <s v="USD"/>
    <x v="2"/>
    <x v="97"/>
  </r>
  <r>
    <s v="176-10000298"/>
    <x v="4"/>
    <x v="3"/>
    <x v="1"/>
    <n v="875"/>
    <n v="216"/>
    <s v="USD"/>
    <x v="3"/>
    <x v="15"/>
  </r>
  <r>
    <s v="176-10000299"/>
    <x v="2"/>
    <x v="0"/>
    <x v="1"/>
    <n v="1163"/>
    <n v="290"/>
    <s v="USD"/>
    <x v="2"/>
    <x v="73"/>
  </r>
  <r>
    <s v="176-10000300"/>
    <x v="4"/>
    <x v="3"/>
    <x v="1"/>
    <n v="650"/>
    <n v="329"/>
    <s v="USD"/>
    <x v="3"/>
    <x v="56"/>
  </r>
  <r>
    <s v="176-10000301"/>
    <x v="5"/>
    <x v="1"/>
    <x v="0"/>
    <n v="266"/>
    <n v="237"/>
    <s v="USD"/>
    <x v="2"/>
    <x v="80"/>
  </r>
  <r>
    <s v="176-10000302"/>
    <x v="2"/>
    <x v="3"/>
    <x v="0"/>
    <n v="535"/>
    <n v="351"/>
    <s v="USD"/>
    <x v="0"/>
    <x v="39"/>
  </r>
  <r>
    <s v="176-10000303"/>
    <x v="5"/>
    <x v="3"/>
    <x v="0"/>
    <n v="1517"/>
    <n v="68"/>
    <s v="USD"/>
    <x v="0"/>
    <x v="100"/>
  </r>
  <r>
    <s v="176-10000304"/>
    <x v="1"/>
    <x v="1"/>
    <x v="0"/>
    <n v="733"/>
    <n v="117"/>
    <s v="USD"/>
    <x v="0"/>
    <x v="56"/>
  </r>
  <r>
    <s v="176-10000305"/>
    <x v="3"/>
    <x v="3"/>
    <x v="1"/>
    <n v="544"/>
    <n v="267"/>
    <s v="USD"/>
    <x v="1"/>
    <x v="36"/>
  </r>
  <r>
    <s v="176-10000306"/>
    <x v="4"/>
    <x v="1"/>
    <x v="0"/>
    <n v="1237"/>
    <n v="151"/>
    <s v="USD"/>
    <x v="4"/>
    <x v="18"/>
  </r>
  <r>
    <s v="176-10000307"/>
    <x v="3"/>
    <x v="3"/>
    <x v="0"/>
    <n v="1890"/>
    <n v="91"/>
    <s v="USD"/>
    <x v="0"/>
    <x v="17"/>
  </r>
  <r>
    <s v="176-10000308"/>
    <x v="3"/>
    <x v="1"/>
    <x v="0"/>
    <n v="870"/>
    <n v="337"/>
    <s v="USD"/>
    <x v="3"/>
    <x v="64"/>
  </r>
  <r>
    <s v="176-10000309"/>
    <x v="4"/>
    <x v="3"/>
    <x v="0"/>
    <n v="221"/>
    <n v="216"/>
    <s v="USD"/>
    <x v="0"/>
    <x v="83"/>
  </r>
  <r>
    <s v="176-10000310"/>
    <x v="2"/>
    <x v="3"/>
    <x v="0"/>
    <n v="1962"/>
    <n v="158"/>
    <s v="USD"/>
    <x v="1"/>
    <x v="55"/>
  </r>
  <r>
    <s v="176-10000311"/>
    <x v="1"/>
    <x v="0"/>
    <x v="0"/>
    <n v="423"/>
    <n v="85"/>
    <s v="USD"/>
    <x v="3"/>
    <x v="104"/>
  </r>
  <r>
    <s v="176-10000312"/>
    <x v="5"/>
    <x v="0"/>
    <x v="0"/>
    <n v="1493"/>
    <n v="281"/>
    <s v="USD"/>
    <x v="1"/>
    <x v="93"/>
  </r>
  <r>
    <s v="176-10000313"/>
    <x v="0"/>
    <x v="3"/>
    <x v="1"/>
    <n v="487"/>
    <n v="278"/>
    <s v="USD"/>
    <x v="3"/>
    <x v="2"/>
  </r>
  <r>
    <s v="176-10000314"/>
    <x v="5"/>
    <x v="3"/>
    <x v="1"/>
    <n v="1539"/>
    <n v="213"/>
    <s v="USD"/>
    <x v="2"/>
    <x v="50"/>
  </r>
  <r>
    <s v="176-10000315"/>
    <x v="0"/>
    <x v="2"/>
    <x v="0"/>
    <n v="1668"/>
    <n v="122"/>
    <s v="USD"/>
    <x v="4"/>
    <x v="27"/>
  </r>
  <r>
    <s v="176-10000316"/>
    <x v="5"/>
    <x v="1"/>
    <x v="0"/>
    <n v="756"/>
    <n v="185"/>
    <s v="USD"/>
    <x v="4"/>
    <x v="78"/>
  </r>
  <r>
    <s v="176-10000317"/>
    <x v="4"/>
    <x v="2"/>
    <x v="0"/>
    <n v="315"/>
    <n v="119"/>
    <s v="USD"/>
    <x v="1"/>
    <x v="39"/>
  </r>
  <r>
    <s v="176-10000318"/>
    <x v="1"/>
    <x v="0"/>
    <x v="0"/>
    <n v="1717"/>
    <n v="245"/>
    <s v="USD"/>
    <x v="4"/>
    <x v="34"/>
  </r>
  <r>
    <s v="176-10000319"/>
    <x v="0"/>
    <x v="0"/>
    <x v="0"/>
    <n v="160"/>
    <n v="318"/>
    <s v="USD"/>
    <x v="1"/>
    <x v="48"/>
  </r>
  <r>
    <s v="176-10000320"/>
    <x v="2"/>
    <x v="0"/>
    <x v="0"/>
    <n v="1474"/>
    <n v="98"/>
    <s v="USD"/>
    <x v="1"/>
    <x v="15"/>
  </r>
  <r>
    <s v="176-10000321"/>
    <x v="5"/>
    <x v="0"/>
    <x v="0"/>
    <n v="878"/>
    <n v="365"/>
    <s v="USD"/>
    <x v="1"/>
    <x v="7"/>
  </r>
  <r>
    <s v="176-10000322"/>
    <x v="5"/>
    <x v="3"/>
    <x v="0"/>
    <n v="950"/>
    <n v="179"/>
    <s v="USD"/>
    <x v="4"/>
    <x v="82"/>
  </r>
  <r>
    <s v="176-10000323"/>
    <x v="0"/>
    <x v="0"/>
    <x v="0"/>
    <n v="251"/>
    <n v="54"/>
    <s v="USD"/>
    <x v="1"/>
    <x v="108"/>
  </r>
  <r>
    <s v="176-10000324"/>
    <x v="2"/>
    <x v="3"/>
    <x v="0"/>
    <n v="1598"/>
    <n v="76"/>
    <s v="USD"/>
    <x v="4"/>
    <x v="111"/>
  </r>
  <r>
    <s v="176-10000325"/>
    <x v="2"/>
    <x v="3"/>
    <x v="2"/>
    <n v="1565"/>
    <n v="209"/>
    <s v="USD"/>
    <x v="1"/>
    <x v="46"/>
  </r>
  <r>
    <s v="176-10000326"/>
    <x v="4"/>
    <x v="0"/>
    <x v="1"/>
    <n v="928"/>
    <n v="198"/>
    <s v="USD"/>
    <x v="0"/>
    <x v="89"/>
  </r>
  <r>
    <s v="176-10000327"/>
    <x v="4"/>
    <x v="0"/>
    <x v="0"/>
    <n v="363"/>
    <n v="313"/>
    <s v="USD"/>
    <x v="1"/>
    <x v="85"/>
  </r>
  <r>
    <s v="176-10000328"/>
    <x v="4"/>
    <x v="1"/>
    <x v="1"/>
    <n v="1864"/>
    <n v="279"/>
    <s v="USD"/>
    <x v="3"/>
    <x v="78"/>
  </r>
  <r>
    <s v="176-10000329"/>
    <x v="4"/>
    <x v="2"/>
    <x v="0"/>
    <n v="1261"/>
    <n v="249"/>
    <s v="USD"/>
    <x v="1"/>
    <x v="69"/>
  </r>
  <r>
    <s v="176-10000330"/>
    <x v="4"/>
    <x v="0"/>
    <x v="1"/>
    <n v="1726"/>
    <n v="99"/>
    <s v="USD"/>
    <x v="2"/>
    <x v="49"/>
  </r>
  <r>
    <s v="176-10000331"/>
    <x v="4"/>
    <x v="1"/>
    <x v="1"/>
    <n v="550"/>
    <n v="116"/>
    <s v="USD"/>
    <x v="1"/>
    <x v="80"/>
  </r>
  <r>
    <s v="176-10000332"/>
    <x v="1"/>
    <x v="1"/>
    <x v="0"/>
    <n v="737"/>
    <n v="349"/>
    <s v="USD"/>
    <x v="3"/>
    <x v="105"/>
  </r>
  <r>
    <s v="176-10000333"/>
    <x v="2"/>
    <x v="2"/>
    <x v="0"/>
    <n v="1038"/>
    <n v="107"/>
    <s v="USD"/>
    <x v="3"/>
    <x v="33"/>
  </r>
  <r>
    <s v="176-10000334"/>
    <x v="4"/>
    <x v="3"/>
    <x v="0"/>
    <n v="1219"/>
    <n v="308"/>
    <s v="USD"/>
    <x v="4"/>
    <x v="33"/>
  </r>
  <r>
    <s v="176-10000335"/>
    <x v="2"/>
    <x v="0"/>
    <x v="0"/>
    <n v="1845"/>
    <n v="391"/>
    <s v="USD"/>
    <x v="0"/>
    <x v="88"/>
  </r>
  <r>
    <s v="176-10000336"/>
    <x v="2"/>
    <x v="2"/>
    <x v="0"/>
    <n v="1636"/>
    <n v="375"/>
    <s v="USD"/>
    <x v="1"/>
    <x v="21"/>
  </r>
  <r>
    <s v="176-10000337"/>
    <x v="3"/>
    <x v="0"/>
    <x v="0"/>
    <n v="741"/>
    <n v="179"/>
    <s v="USD"/>
    <x v="4"/>
    <x v="88"/>
  </r>
  <r>
    <s v="176-10000338"/>
    <x v="1"/>
    <x v="1"/>
    <x v="0"/>
    <n v="1483"/>
    <n v="264"/>
    <s v="USD"/>
    <x v="0"/>
    <x v="74"/>
  </r>
  <r>
    <s v="176-10000339"/>
    <x v="4"/>
    <x v="1"/>
    <x v="1"/>
    <n v="1259"/>
    <n v="221"/>
    <s v="USD"/>
    <x v="1"/>
    <x v="85"/>
  </r>
  <r>
    <s v="176-10000340"/>
    <x v="5"/>
    <x v="3"/>
    <x v="2"/>
    <n v="241"/>
    <n v="307"/>
    <s v="USD"/>
    <x v="2"/>
    <x v="54"/>
  </r>
  <r>
    <s v="176-10000341"/>
    <x v="0"/>
    <x v="1"/>
    <x v="0"/>
    <n v="1833"/>
    <n v="151"/>
    <s v="USD"/>
    <x v="1"/>
    <x v="27"/>
  </r>
  <r>
    <s v="176-10000342"/>
    <x v="5"/>
    <x v="1"/>
    <x v="0"/>
    <n v="822"/>
    <n v="258"/>
    <s v="USD"/>
    <x v="3"/>
    <x v="112"/>
  </r>
  <r>
    <s v="176-10000343"/>
    <x v="1"/>
    <x v="2"/>
    <x v="0"/>
    <n v="863"/>
    <n v="340"/>
    <s v="USD"/>
    <x v="3"/>
    <x v="49"/>
  </r>
  <r>
    <s v="176-10000344"/>
    <x v="0"/>
    <x v="0"/>
    <x v="0"/>
    <n v="1085"/>
    <n v="335"/>
    <s v="USD"/>
    <x v="2"/>
    <x v="87"/>
  </r>
  <r>
    <s v="176-10000345"/>
    <x v="1"/>
    <x v="0"/>
    <x v="2"/>
    <n v="391"/>
    <n v="165"/>
    <s v="USD"/>
    <x v="4"/>
    <x v="91"/>
  </r>
  <r>
    <s v="176-10000346"/>
    <x v="2"/>
    <x v="2"/>
    <x v="0"/>
    <n v="151"/>
    <n v="313"/>
    <s v="USD"/>
    <x v="0"/>
    <x v="49"/>
  </r>
  <r>
    <s v="176-10000347"/>
    <x v="0"/>
    <x v="3"/>
    <x v="0"/>
    <n v="374"/>
    <n v="199"/>
    <s v="USD"/>
    <x v="1"/>
    <x v="75"/>
  </r>
  <r>
    <s v="176-10000348"/>
    <x v="2"/>
    <x v="0"/>
    <x v="0"/>
    <n v="950"/>
    <n v="349"/>
    <s v="USD"/>
    <x v="3"/>
    <x v="76"/>
  </r>
  <r>
    <s v="176-10000349"/>
    <x v="5"/>
    <x v="1"/>
    <x v="0"/>
    <n v="1918"/>
    <n v="85"/>
    <s v="USD"/>
    <x v="4"/>
    <x v="17"/>
  </r>
  <r>
    <s v="176-10000350"/>
    <x v="5"/>
    <x v="0"/>
    <x v="0"/>
    <n v="738"/>
    <n v="382"/>
    <s v="USD"/>
    <x v="2"/>
    <x v="0"/>
  </r>
  <r>
    <s v="176-10000351"/>
    <x v="0"/>
    <x v="1"/>
    <x v="1"/>
    <n v="265"/>
    <n v="336"/>
    <s v="USD"/>
    <x v="3"/>
    <x v="44"/>
  </r>
  <r>
    <s v="176-10000352"/>
    <x v="0"/>
    <x v="3"/>
    <x v="0"/>
    <n v="1839"/>
    <n v="352"/>
    <s v="USD"/>
    <x v="2"/>
    <x v="95"/>
  </r>
  <r>
    <s v="176-10000353"/>
    <x v="4"/>
    <x v="2"/>
    <x v="0"/>
    <n v="1067"/>
    <n v="360"/>
    <s v="USD"/>
    <x v="1"/>
    <x v="87"/>
  </r>
  <r>
    <s v="176-10000354"/>
    <x v="1"/>
    <x v="0"/>
    <x v="0"/>
    <n v="1276"/>
    <n v="257"/>
    <s v="USD"/>
    <x v="0"/>
    <x v="20"/>
  </r>
  <r>
    <s v="176-10000355"/>
    <x v="4"/>
    <x v="2"/>
    <x v="2"/>
    <n v="343"/>
    <n v="155"/>
    <s v="USD"/>
    <x v="3"/>
    <x v="1"/>
  </r>
  <r>
    <s v="176-10000356"/>
    <x v="1"/>
    <x v="0"/>
    <x v="1"/>
    <n v="1339"/>
    <n v="207"/>
    <s v="USD"/>
    <x v="3"/>
    <x v="113"/>
  </r>
  <r>
    <s v="176-10000357"/>
    <x v="4"/>
    <x v="1"/>
    <x v="0"/>
    <n v="1020"/>
    <n v="170"/>
    <s v="USD"/>
    <x v="1"/>
    <x v="62"/>
  </r>
  <r>
    <s v="176-10000358"/>
    <x v="2"/>
    <x v="2"/>
    <x v="0"/>
    <n v="239"/>
    <n v="104"/>
    <s v="USD"/>
    <x v="4"/>
    <x v="60"/>
  </r>
  <r>
    <s v="176-10000359"/>
    <x v="0"/>
    <x v="0"/>
    <x v="0"/>
    <n v="1859"/>
    <n v="61"/>
    <s v="USD"/>
    <x v="0"/>
    <x v="94"/>
  </r>
  <r>
    <s v="176-10000360"/>
    <x v="5"/>
    <x v="1"/>
    <x v="0"/>
    <n v="271"/>
    <n v="194"/>
    <s v="USD"/>
    <x v="3"/>
    <x v="40"/>
  </r>
  <r>
    <s v="176-10000361"/>
    <x v="1"/>
    <x v="2"/>
    <x v="2"/>
    <n v="292"/>
    <n v="185"/>
    <s v="USD"/>
    <x v="0"/>
    <x v="43"/>
  </r>
  <r>
    <s v="176-10000362"/>
    <x v="1"/>
    <x v="2"/>
    <x v="0"/>
    <n v="1143"/>
    <n v="52"/>
    <s v="USD"/>
    <x v="3"/>
    <x v="44"/>
  </r>
  <r>
    <s v="176-10000363"/>
    <x v="5"/>
    <x v="0"/>
    <x v="0"/>
    <n v="255"/>
    <n v="193"/>
    <s v="USD"/>
    <x v="0"/>
    <x v="52"/>
  </r>
  <r>
    <s v="176-10000364"/>
    <x v="4"/>
    <x v="0"/>
    <x v="0"/>
    <n v="1036"/>
    <n v="79"/>
    <s v="USD"/>
    <x v="2"/>
    <x v="108"/>
  </r>
  <r>
    <s v="176-10000365"/>
    <x v="1"/>
    <x v="0"/>
    <x v="0"/>
    <n v="577"/>
    <n v="286"/>
    <s v="USD"/>
    <x v="3"/>
    <x v="112"/>
  </r>
  <r>
    <s v="176-10000366"/>
    <x v="2"/>
    <x v="1"/>
    <x v="0"/>
    <n v="1478"/>
    <n v="328"/>
    <s v="USD"/>
    <x v="0"/>
    <x v="69"/>
  </r>
  <r>
    <s v="176-10000367"/>
    <x v="0"/>
    <x v="0"/>
    <x v="1"/>
    <n v="466"/>
    <n v="397"/>
    <s v="USD"/>
    <x v="4"/>
    <x v="5"/>
  </r>
  <r>
    <s v="176-10000368"/>
    <x v="5"/>
    <x v="2"/>
    <x v="0"/>
    <n v="784"/>
    <n v="164"/>
    <s v="USD"/>
    <x v="2"/>
    <x v="30"/>
  </r>
  <r>
    <s v="176-10000369"/>
    <x v="0"/>
    <x v="2"/>
    <x v="0"/>
    <n v="158"/>
    <n v="153"/>
    <s v="USD"/>
    <x v="2"/>
    <x v="7"/>
  </r>
  <r>
    <s v="176-10000370"/>
    <x v="1"/>
    <x v="0"/>
    <x v="0"/>
    <n v="923"/>
    <n v="167"/>
    <s v="USD"/>
    <x v="4"/>
    <x v="69"/>
  </r>
  <r>
    <s v="176-10000371"/>
    <x v="1"/>
    <x v="0"/>
    <x v="0"/>
    <n v="1246"/>
    <n v="54"/>
    <s v="USD"/>
    <x v="0"/>
    <x v="51"/>
  </r>
  <r>
    <s v="176-10000372"/>
    <x v="5"/>
    <x v="3"/>
    <x v="0"/>
    <n v="1532"/>
    <n v="297"/>
    <s v="USD"/>
    <x v="1"/>
    <x v="58"/>
  </r>
  <r>
    <s v="176-10000373"/>
    <x v="2"/>
    <x v="2"/>
    <x v="0"/>
    <n v="372"/>
    <n v="370"/>
    <s v="USD"/>
    <x v="4"/>
    <x v="108"/>
  </r>
  <r>
    <s v="176-10000374"/>
    <x v="3"/>
    <x v="1"/>
    <x v="1"/>
    <n v="1589"/>
    <n v="170"/>
    <s v="USD"/>
    <x v="0"/>
    <x v="91"/>
  </r>
  <r>
    <s v="176-10000375"/>
    <x v="5"/>
    <x v="3"/>
    <x v="0"/>
    <n v="702"/>
    <n v="335"/>
    <s v="USD"/>
    <x v="4"/>
    <x v="60"/>
  </r>
  <r>
    <s v="176-10000376"/>
    <x v="3"/>
    <x v="0"/>
    <x v="0"/>
    <n v="1543"/>
    <n v="198"/>
    <s v="USD"/>
    <x v="4"/>
    <x v="41"/>
  </r>
  <r>
    <s v="176-10000377"/>
    <x v="4"/>
    <x v="0"/>
    <x v="0"/>
    <n v="865"/>
    <n v="133"/>
    <s v="USD"/>
    <x v="3"/>
    <x v="76"/>
  </r>
  <r>
    <s v="176-10000378"/>
    <x v="3"/>
    <x v="2"/>
    <x v="0"/>
    <n v="1437"/>
    <n v="280"/>
    <s v="USD"/>
    <x v="0"/>
    <x v="114"/>
  </r>
  <r>
    <s v="176-10000379"/>
    <x v="2"/>
    <x v="0"/>
    <x v="2"/>
    <n v="1863"/>
    <n v="337"/>
    <s v="USD"/>
    <x v="1"/>
    <x v="48"/>
  </r>
  <r>
    <s v="176-10000380"/>
    <x v="4"/>
    <x v="1"/>
    <x v="1"/>
    <n v="1491"/>
    <n v="210"/>
    <s v="USD"/>
    <x v="3"/>
    <x v="75"/>
  </r>
  <r>
    <s v="176-10000381"/>
    <x v="3"/>
    <x v="2"/>
    <x v="0"/>
    <n v="1257"/>
    <n v="321"/>
    <s v="USD"/>
    <x v="4"/>
    <x v="75"/>
  </r>
  <r>
    <s v="176-10000382"/>
    <x v="4"/>
    <x v="0"/>
    <x v="0"/>
    <n v="1491"/>
    <n v="87"/>
    <s v="USD"/>
    <x v="4"/>
    <x v="14"/>
  </r>
  <r>
    <s v="176-10000383"/>
    <x v="3"/>
    <x v="2"/>
    <x v="0"/>
    <n v="260"/>
    <n v="275"/>
    <s v="USD"/>
    <x v="4"/>
    <x v="73"/>
  </r>
  <r>
    <s v="176-10000384"/>
    <x v="2"/>
    <x v="0"/>
    <x v="0"/>
    <n v="400"/>
    <n v="191"/>
    <s v="USD"/>
    <x v="0"/>
    <x v="14"/>
  </r>
  <r>
    <s v="176-10000385"/>
    <x v="3"/>
    <x v="0"/>
    <x v="0"/>
    <n v="532"/>
    <n v="341"/>
    <s v="USD"/>
    <x v="0"/>
    <x v="69"/>
  </r>
  <r>
    <s v="176-10000386"/>
    <x v="3"/>
    <x v="0"/>
    <x v="0"/>
    <n v="156"/>
    <n v="200"/>
    <s v="USD"/>
    <x v="3"/>
    <x v="47"/>
  </r>
  <r>
    <s v="176-10000387"/>
    <x v="3"/>
    <x v="1"/>
    <x v="0"/>
    <n v="608"/>
    <n v="163"/>
    <s v="USD"/>
    <x v="1"/>
    <x v="87"/>
  </r>
  <r>
    <s v="176-10000388"/>
    <x v="5"/>
    <x v="1"/>
    <x v="0"/>
    <n v="1257"/>
    <n v="286"/>
    <s v="USD"/>
    <x v="3"/>
    <x v="42"/>
  </r>
  <r>
    <s v="176-10000389"/>
    <x v="5"/>
    <x v="2"/>
    <x v="1"/>
    <n v="357"/>
    <n v="115"/>
    <s v="USD"/>
    <x v="2"/>
    <x v="15"/>
  </r>
  <r>
    <s v="176-10000390"/>
    <x v="5"/>
    <x v="0"/>
    <x v="0"/>
    <n v="1049"/>
    <n v="390"/>
    <s v="USD"/>
    <x v="4"/>
    <x v="1"/>
  </r>
  <r>
    <s v="176-10000391"/>
    <x v="2"/>
    <x v="0"/>
    <x v="0"/>
    <n v="1563"/>
    <n v="307"/>
    <s v="USD"/>
    <x v="4"/>
    <x v="74"/>
  </r>
  <r>
    <s v="176-10000392"/>
    <x v="4"/>
    <x v="1"/>
    <x v="1"/>
    <n v="1487"/>
    <n v="298"/>
    <s v="USD"/>
    <x v="4"/>
    <x v="67"/>
  </r>
  <r>
    <s v="176-10000393"/>
    <x v="1"/>
    <x v="0"/>
    <x v="0"/>
    <n v="171"/>
    <n v="380"/>
    <s v="USD"/>
    <x v="3"/>
    <x v="91"/>
  </r>
  <r>
    <s v="176-10000394"/>
    <x v="3"/>
    <x v="1"/>
    <x v="0"/>
    <n v="559"/>
    <n v="372"/>
    <s v="USD"/>
    <x v="3"/>
    <x v="114"/>
  </r>
  <r>
    <s v="176-10000395"/>
    <x v="3"/>
    <x v="0"/>
    <x v="0"/>
    <n v="1044"/>
    <n v="229"/>
    <s v="USD"/>
    <x v="4"/>
    <x v="96"/>
  </r>
  <r>
    <s v="176-10000396"/>
    <x v="2"/>
    <x v="2"/>
    <x v="0"/>
    <n v="664"/>
    <n v="239"/>
    <s v="USD"/>
    <x v="3"/>
    <x v="12"/>
  </r>
  <r>
    <s v="176-10000397"/>
    <x v="3"/>
    <x v="0"/>
    <x v="1"/>
    <n v="1300"/>
    <n v="203"/>
    <s v="USD"/>
    <x v="0"/>
    <x v="67"/>
  </r>
  <r>
    <s v="176-10000398"/>
    <x v="5"/>
    <x v="0"/>
    <x v="1"/>
    <n v="958"/>
    <n v="245"/>
    <s v="USD"/>
    <x v="0"/>
    <x v="60"/>
  </r>
  <r>
    <s v="176-10000399"/>
    <x v="1"/>
    <x v="3"/>
    <x v="0"/>
    <n v="1873"/>
    <n v="360"/>
    <s v="USD"/>
    <x v="3"/>
    <x v="40"/>
  </r>
  <r>
    <s v="176-10000400"/>
    <x v="0"/>
    <x v="1"/>
    <x v="0"/>
    <n v="1023"/>
    <n v="311"/>
    <s v="USD"/>
    <x v="4"/>
    <x v="59"/>
  </r>
  <r>
    <s v="176-10000401"/>
    <x v="3"/>
    <x v="0"/>
    <x v="0"/>
    <n v="163"/>
    <n v="192"/>
    <s v="USD"/>
    <x v="3"/>
    <x v="20"/>
  </r>
  <r>
    <s v="176-10000402"/>
    <x v="5"/>
    <x v="0"/>
    <x v="0"/>
    <n v="1120"/>
    <n v="391"/>
    <s v="USD"/>
    <x v="3"/>
    <x v="11"/>
  </r>
  <r>
    <s v="176-10000403"/>
    <x v="0"/>
    <x v="3"/>
    <x v="0"/>
    <n v="1127"/>
    <n v="365"/>
    <s v="USD"/>
    <x v="3"/>
    <x v="75"/>
  </r>
  <r>
    <s v="176-10000404"/>
    <x v="1"/>
    <x v="3"/>
    <x v="2"/>
    <n v="1163"/>
    <n v="150"/>
    <s v="USD"/>
    <x v="2"/>
    <x v="75"/>
  </r>
  <r>
    <s v="176-10000405"/>
    <x v="0"/>
    <x v="1"/>
    <x v="0"/>
    <n v="1185"/>
    <n v="293"/>
    <s v="USD"/>
    <x v="0"/>
    <x v="56"/>
  </r>
  <r>
    <s v="176-10000406"/>
    <x v="5"/>
    <x v="3"/>
    <x v="2"/>
    <n v="236"/>
    <n v="61"/>
    <s v="USD"/>
    <x v="1"/>
    <x v="11"/>
  </r>
  <r>
    <s v="176-10000407"/>
    <x v="4"/>
    <x v="2"/>
    <x v="0"/>
    <n v="1697"/>
    <n v="288"/>
    <s v="USD"/>
    <x v="1"/>
    <x v="14"/>
  </r>
  <r>
    <s v="176-10000408"/>
    <x v="4"/>
    <x v="3"/>
    <x v="0"/>
    <n v="1058"/>
    <n v="98"/>
    <s v="USD"/>
    <x v="2"/>
    <x v="38"/>
  </r>
  <r>
    <s v="176-10000409"/>
    <x v="0"/>
    <x v="2"/>
    <x v="0"/>
    <n v="1710"/>
    <n v="91"/>
    <s v="USD"/>
    <x v="3"/>
    <x v="115"/>
  </r>
  <r>
    <s v="176-10000410"/>
    <x v="2"/>
    <x v="1"/>
    <x v="1"/>
    <n v="1474"/>
    <n v="215"/>
    <s v="USD"/>
    <x v="2"/>
    <x v="8"/>
  </r>
  <r>
    <s v="176-10000411"/>
    <x v="0"/>
    <x v="1"/>
    <x v="1"/>
    <n v="1416"/>
    <n v="131"/>
    <s v="USD"/>
    <x v="2"/>
    <x v="96"/>
  </r>
  <r>
    <s v="176-10000412"/>
    <x v="3"/>
    <x v="1"/>
    <x v="1"/>
    <n v="271"/>
    <n v="340"/>
    <s v="USD"/>
    <x v="4"/>
    <x v="34"/>
  </r>
  <r>
    <s v="176-10000413"/>
    <x v="3"/>
    <x v="1"/>
    <x v="0"/>
    <n v="1320"/>
    <n v="207"/>
    <s v="USD"/>
    <x v="0"/>
    <x v="50"/>
  </r>
  <r>
    <s v="176-10000414"/>
    <x v="4"/>
    <x v="1"/>
    <x v="0"/>
    <n v="1740"/>
    <n v="265"/>
    <s v="USD"/>
    <x v="1"/>
    <x v="46"/>
  </r>
  <r>
    <s v="176-10000415"/>
    <x v="2"/>
    <x v="2"/>
    <x v="1"/>
    <n v="899"/>
    <n v="207"/>
    <s v="USD"/>
    <x v="3"/>
    <x v="14"/>
  </r>
  <r>
    <s v="176-10000416"/>
    <x v="5"/>
    <x v="2"/>
    <x v="0"/>
    <n v="1529"/>
    <n v="183"/>
    <s v="USD"/>
    <x v="1"/>
    <x v="47"/>
  </r>
  <r>
    <s v="176-10000417"/>
    <x v="3"/>
    <x v="1"/>
    <x v="0"/>
    <n v="834"/>
    <n v="116"/>
    <s v="USD"/>
    <x v="1"/>
    <x v="15"/>
  </r>
  <r>
    <s v="176-10000418"/>
    <x v="4"/>
    <x v="3"/>
    <x v="0"/>
    <n v="1906"/>
    <n v="385"/>
    <s v="USD"/>
    <x v="0"/>
    <x v="45"/>
  </r>
  <r>
    <s v="176-10000419"/>
    <x v="1"/>
    <x v="0"/>
    <x v="2"/>
    <n v="1804"/>
    <n v="56"/>
    <s v="USD"/>
    <x v="1"/>
    <x v="98"/>
  </r>
  <r>
    <s v="176-10000420"/>
    <x v="4"/>
    <x v="1"/>
    <x v="2"/>
    <n v="458"/>
    <n v="63"/>
    <s v="USD"/>
    <x v="1"/>
    <x v="6"/>
  </r>
  <r>
    <s v="176-10000421"/>
    <x v="3"/>
    <x v="3"/>
    <x v="0"/>
    <n v="844"/>
    <n v="122"/>
    <s v="USD"/>
    <x v="2"/>
    <x v="9"/>
  </r>
  <r>
    <s v="176-10000422"/>
    <x v="3"/>
    <x v="0"/>
    <x v="1"/>
    <n v="437"/>
    <n v="212"/>
    <s v="USD"/>
    <x v="0"/>
    <x v="102"/>
  </r>
  <r>
    <s v="176-10000423"/>
    <x v="4"/>
    <x v="1"/>
    <x v="2"/>
    <n v="456"/>
    <n v="115"/>
    <s v="USD"/>
    <x v="4"/>
    <x v="6"/>
  </r>
  <r>
    <s v="176-10000424"/>
    <x v="5"/>
    <x v="1"/>
    <x v="0"/>
    <n v="1985"/>
    <n v="396"/>
    <s v="USD"/>
    <x v="3"/>
    <x v="100"/>
  </r>
  <r>
    <s v="176-10000425"/>
    <x v="0"/>
    <x v="2"/>
    <x v="0"/>
    <n v="1767"/>
    <n v="179"/>
    <s v="USD"/>
    <x v="1"/>
    <x v="3"/>
  </r>
  <r>
    <s v="176-10000426"/>
    <x v="3"/>
    <x v="0"/>
    <x v="2"/>
    <n v="1063"/>
    <n v="255"/>
    <s v="USD"/>
    <x v="3"/>
    <x v="25"/>
  </r>
  <r>
    <s v="176-10000427"/>
    <x v="4"/>
    <x v="0"/>
    <x v="0"/>
    <n v="1896"/>
    <n v="325"/>
    <s v="USD"/>
    <x v="4"/>
    <x v="88"/>
  </r>
  <r>
    <s v="176-10000428"/>
    <x v="4"/>
    <x v="3"/>
    <x v="0"/>
    <n v="811"/>
    <n v="305"/>
    <s v="USD"/>
    <x v="3"/>
    <x v="101"/>
  </r>
  <r>
    <s v="176-10000429"/>
    <x v="2"/>
    <x v="2"/>
    <x v="0"/>
    <n v="698"/>
    <n v="315"/>
    <s v="USD"/>
    <x v="4"/>
    <x v="114"/>
  </r>
  <r>
    <s v="176-10000430"/>
    <x v="0"/>
    <x v="2"/>
    <x v="2"/>
    <n v="1525"/>
    <n v="74"/>
    <s v="USD"/>
    <x v="2"/>
    <x v="47"/>
  </r>
  <r>
    <s v="176-10000431"/>
    <x v="1"/>
    <x v="2"/>
    <x v="2"/>
    <n v="461"/>
    <n v="330"/>
    <s v="USD"/>
    <x v="1"/>
    <x v="49"/>
  </r>
  <r>
    <s v="176-10000432"/>
    <x v="5"/>
    <x v="2"/>
    <x v="2"/>
    <n v="1022"/>
    <n v="302"/>
    <s v="USD"/>
    <x v="4"/>
    <x v="37"/>
  </r>
  <r>
    <s v="176-10000433"/>
    <x v="1"/>
    <x v="0"/>
    <x v="0"/>
    <n v="1232"/>
    <n v="359"/>
    <s v="USD"/>
    <x v="3"/>
    <x v="39"/>
  </r>
  <r>
    <s v="176-10000434"/>
    <x v="0"/>
    <x v="0"/>
    <x v="1"/>
    <n v="1816"/>
    <n v="338"/>
    <s v="USD"/>
    <x v="1"/>
    <x v="78"/>
  </r>
  <r>
    <s v="176-10000435"/>
    <x v="0"/>
    <x v="1"/>
    <x v="1"/>
    <n v="1073"/>
    <n v="213"/>
    <s v="USD"/>
    <x v="2"/>
    <x v="36"/>
  </r>
  <r>
    <s v="176-10000436"/>
    <x v="0"/>
    <x v="1"/>
    <x v="0"/>
    <n v="1887"/>
    <n v="144"/>
    <s v="USD"/>
    <x v="1"/>
    <x v="91"/>
  </r>
  <r>
    <s v="176-10000437"/>
    <x v="1"/>
    <x v="2"/>
    <x v="1"/>
    <n v="904"/>
    <n v="319"/>
    <s v="USD"/>
    <x v="4"/>
    <x v="50"/>
  </r>
  <r>
    <s v="176-10000438"/>
    <x v="0"/>
    <x v="2"/>
    <x v="0"/>
    <n v="184"/>
    <n v="370"/>
    <s v="USD"/>
    <x v="2"/>
    <x v="33"/>
  </r>
  <r>
    <s v="176-10000439"/>
    <x v="4"/>
    <x v="2"/>
    <x v="0"/>
    <n v="594"/>
    <n v="159"/>
    <s v="USD"/>
    <x v="3"/>
    <x v="43"/>
  </r>
  <r>
    <s v="176-10000440"/>
    <x v="1"/>
    <x v="1"/>
    <x v="0"/>
    <n v="242"/>
    <n v="385"/>
    <s v="USD"/>
    <x v="2"/>
    <x v="96"/>
  </r>
  <r>
    <s v="176-10000441"/>
    <x v="0"/>
    <x v="3"/>
    <x v="0"/>
    <n v="1380"/>
    <n v="359"/>
    <s v="USD"/>
    <x v="2"/>
    <x v="104"/>
  </r>
  <r>
    <s v="176-10000442"/>
    <x v="4"/>
    <x v="3"/>
    <x v="0"/>
    <n v="502"/>
    <n v="287"/>
    <s v="USD"/>
    <x v="0"/>
    <x v="86"/>
  </r>
  <r>
    <s v="176-10000443"/>
    <x v="2"/>
    <x v="1"/>
    <x v="0"/>
    <n v="1052"/>
    <n v="74"/>
    <s v="USD"/>
    <x v="2"/>
    <x v="51"/>
  </r>
  <r>
    <s v="176-10000444"/>
    <x v="0"/>
    <x v="1"/>
    <x v="0"/>
    <n v="1505"/>
    <n v="190"/>
    <s v="USD"/>
    <x v="2"/>
    <x v="15"/>
  </r>
  <r>
    <s v="176-10000445"/>
    <x v="1"/>
    <x v="1"/>
    <x v="1"/>
    <n v="1990"/>
    <n v="166"/>
    <s v="USD"/>
    <x v="1"/>
    <x v="115"/>
  </r>
  <r>
    <s v="176-10000446"/>
    <x v="3"/>
    <x v="1"/>
    <x v="0"/>
    <n v="1011"/>
    <n v="74"/>
    <s v="USD"/>
    <x v="3"/>
    <x v="72"/>
  </r>
  <r>
    <s v="176-10000447"/>
    <x v="0"/>
    <x v="1"/>
    <x v="0"/>
    <n v="1898"/>
    <n v="128"/>
    <s v="USD"/>
    <x v="1"/>
    <x v="67"/>
  </r>
  <r>
    <s v="176-10000448"/>
    <x v="3"/>
    <x v="1"/>
    <x v="0"/>
    <n v="308"/>
    <n v="117"/>
    <s v="USD"/>
    <x v="1"/>
    <x v="4"/>
  </r>
  <r>
    <s v="176-10000449"/>
    <x v="4"/>
    <x v="2"/>
    <x v="1"/>
    <n v="1106"/>
    <n v="222"/>
    <s v="USD"/>
    <x v="4"/>
    <x v="90"/>
  </r>
  <r>
    <s v="176-10000450"/>
    <x v="2"/>
    <x v="2"/>
    <x v="0"/>
    <n v="173"/>
    <n v="61"/>
    <s v="USD"/>
    <x v="1"/>
    <x v="63"/>
  </r>
  <r>
    <s v="176-10000451"/>
    <x v="5"/>
    <x v="2"/>
    <x v="0"/>
    <n v="553"/>
    <n v="337"/>
    <s v="USD"/>
    <x v="0"/>
    <x v="103"/>
  </r>
  <r>
    <s v="176-10000452"/>
    <x v="2"/>
    <x v="2"/>
    <x v="1"/>
    <n v="954"/>
    <n v="177"/>
    <s v="USD"/>
    <x v="0"/>
    <x v="116"/>
  </r>
  <r>
    <s v="176-10000453"/>
    <x v="0"/>
    <x v="1"/>
    <x v="0"/>
    <n v="665"/>
    <n v="145"/>
    <s v="USD"/>
    <x v="4"/>
    <x v="70"/>
  </r>
  <r>
    <s v="176-10000454"/>
    <x v="3"/>
    <x v="3"/>
    <x v="0"/>
    <n v="881"/>
    <n v="141"/>
    <s v="USD"/>
    <x v="3"/>
    <x v="101"/>
  </r>
  <r>
    <s v="176-10000455"/>
    <x v="3"/>
    <x v="0"/>
    <x v="0"/>
    <n v="1537"/>
    <n v="190"/>
    <s v="USD"/>
    <x v="3"/>
    <x v="28"/>
  </r>
  <r>
    <s v="176-10000456"/>
    <x v="1"/>
    <x v="1"/>
    <x v="1"/>
    <n v="1555"/>
    <n v="80"/>
    <s v="USD"/>
    <x v="1"/>
    <x v="70"/>
  </r>
  <r>
    <s v="176-10000457"/>
    <x v="3"/>
    <x v="0"/>
    <x v="0"/>
    <n v="681"/>
    <n v="383"/>
    <s v="USD"/>
    <x v="1"/>
    <x v="55"/>
  </r>
  <r>
    <s v="176-10000458"/>
    <x v="1"/>
    <x v="3"/>
    <x v="1"/>
    <n v="1105"/>
    <n v="69"/>
    <s v="USD"/>
    <x v="1"/>
    <x v="97"/>
  </r>
  <r>
    <s v="176-10000459"/>
    <x v="4"/>
    <x v="2"/>
    <x v="0"/>
    <n v="301"/>
    <n v="195"/>
    <s v="USD"/>
    <x v="3"/>
    <x v="46"/>
  </r>
  <r>
    <s v="176-10000460"/>
    <x v="5"/>
    <x v="3"/>
    <x v="2"/>
    <n v="1735"/>
    <n v="365"/>
    <s v="USD"/>
    <x v="2"/>
    <x v="117"/>
  </r>
  <r>
    <s v="176-10000461"/>
    <x v="0"/>
    <x v="1"/>
    <x v="1"/>
    <n v="1862"/>
    <n v="209"/>
    <s v="USD"/>
    <x v="0"/>
    <x v="71"/>
  </r>
  <r>
    <s v="176-10000462"/>
    <x v="1"/>
    <x v="2"/>
    <x v="2"/>
    <n v="1096"/>
    <n v="398"/>
    <s v="USD"/>
    <x v="2"/>
    <x v="81"/>
  </r>
  <r>
    <s v="176-10000463"/>
    <x v="5"/>
    <x v="1"/>
    <x v="0"/>
    <n v="757"/>
    <n v="92"/>
    <s v="USD"/>
    <x v="2"/>
    <x v="7"/>
  </r>
  <r>
    <s v="176-10000464"/>
    <x v="3"/>
    <x v="2"/>
    <x v="1"/>
    <n v="1790"/>
    <n v="303"/>
    <s v="USD"/>
    <x v="3"/>
    <x v="90"/>
  </r>
  <r>
    <s v="176-10000465"/>
    <x v="3"/>
    <x v="0"/>
    <x v="0"/>
    <n v="569"/>
    <n v="179"/>
    <s v="USD"/>
    <x v="2"/>
    <x v="61"/>
  </r>
  <r>
    <s v="176-10000466"/>
    <x v="5"/>
    <x v="0"/>
    <x v="0"/>
    <n v="1423"/>
    <n v="109"/>
    <s v="USD"/>
    <x v="4"/>
    <x v="52"/>
  </r>
  <r>
    <s v="176-10000467"/>
    <x v="3"/>
    <x v="0"/>
    <x v="0"/>
    <n v="1290"/>
    <n v="200"/>
    <s v="USD"/>
    <x v="1"/>
    <x v="35"/>
  </r>
  <r>
    <s v="176-10000468"/>
    <x v="4"/>
    <x v="3"/>
    <x v="1"/>
    <n v="1015"/>
    <n v="336"/>
    <s v="USD"/>
    <x v="4"/>
    <x v="77"/>
  </r>
  <r>
    <s v="176-10000469"/>
    <x v="4"/>
    <x v="1"/>
    <x v="2"/>
    <n v="1685"/>
    <n v="54"/>
    <s v="USD"/>
    <x v="0"/>
    <x v="90"/>
  </r>
  <r>
    <s v="176-10000470"/>
    <x v="5"/>
    <x v="3"/>
    <x v="1"/>
    <n v="1913"/>
    <n v="315"/>
    <s v="USD"/>
    <x v="1"/>
    <x v="110"/>
  </r>
  <r>
    <s v="176-10000471"/>
    <x v="1"/>
    <x v="0"/>
    <x v="0"/>
    <n v="727"/>
    <n v="394"/>
    <s v="USD"/>
    <x v="2"/>
    <x v="75"/>
  </r>
  <r>
    <s v="176-10000472"/>
    <x v="1"/>
    <x v="1"/>
    <x v="0"/>
    <n v="484"/>
    <n v="179"/>
    <s v="USD"/>
    <x v="0"/>
    <x v="3"/>
  </r>
  <r>
    <s v="176-10000473"/>
    <x v="5"/>
    <x v="0"/>
    <x v="1"/>
    <n v="1591"/>
    <n v="316"/>
    <s v="USD"/>
    <x v="1"/>
    <x v="30"/>
  </r>
  <r>
    <s v="176-10000474"/>
    <x v="1"/>
    <x v="3"/>
    <x v="0"/>
    <n v="1081"/>
    <n v="227"/>
    <s v="USD"/>
    <x v="2"/>
    <x v="16"/>
  </r>
  <r>
    <s v="176-10000475"/>
    <x v="1"/>
    <x v="3"/>
    <x v="0"/>
    <n v="1947"/>
    <n v="302"/>
    <s v="USD"/>
    <x v="4"/>
    <x v="100"/>
  </r>
  <r>
    <s v="176-10000476"/>
    <x v="4"/>
    <x v="3"/>
    <x v="0"/>
    <n v="444"/>
    <n v="105"/>
    <s v="USD"/>
    <x v="1"/>
    <x v="7"/>
  </r>
  <r>
    <s v="176-10000477"/>
    <x v="1"/>
    <x v="0"/>
    <x v="0"/>
    <n v="904"/>
    <n v="132"/>
    <s v="USD"/>
    <x v="2"/>
    <x v="40"/>
  </r>
  <r>
    <s v="176-10000478"/>
    <x v="2"/>
    <x v="1"/>
    <x v="0"/>
    <n v="1544"/>
    <n v="148"/>
    <s v="USD"/>
    <x v="4"/>
    <x v="78"/>
  </r>
  <r>
    <s v="176-10000479"/>
    <x v="0"/>
    <x v="1"/>
    <x v="0"/>
    <n v="335"/>
    <n v="198"/>
    <s v="USD"/>
    <x v="0"/>
    <x v="8"/>
  </r>
  <r>
    <s v="176-10000480"/>
    <x v="3"/>
    <x v="0"/>
    <x v="0"/>
    <n v="1419"/>
    <n v="378"/>
    <s v="USD"/>
    <x v="0"/>
    <x v="3"/>
  </r>
  <r>
    <s v="176-10000481"/>
    <x v="2"/>
    <x v="1"/>
    <x v="0"/>
    <n v="786"/>
    <n v="205"/>
    <s v="USD"/>
    <x v="0"/>
    <x v="50"/>
  </r>
  <r>
    <s v="176-10000482"/>
    <x v="1"/>
    <x v="0"/>
    <x v="2"/>
    <n v="1441"/>
    <n v="239"/>
    <s v="USD"/>
    <x v="0"/>
    <x v="3"/>
  </r>
  <r>
    <s v="176-10000483"/>
    <x v="4"/>
    <x v="1"/>
    <x v="0"/>
    <n v="1816"/>
    <n v="312"/>
    <s v="USD"/>
    <x v="3"/>
    <x v="97"/>
  </r>
  <r>
    <s v="176-10000484"/>
    <x v="5"/>
    <x v="2"/>
    <x v="0"/>
    <n v="1410"/>
    <n v="129"/>
    <s v="USD"/>
    <x v="1"/>
    <x v="11"/>
  </r>
  <r>
    <s v="176-10000485"/>
    <x v="1"/>
    <x v="2"/>
    <x v="0"/>
    <n v="679"/>
    <n v="301"/>
    <s v="USD"/>
    <x v="1"/>
    <x v="109"/>
  </r>
  <r>
    <s v="176-10000486"/>
    <x v="4"/>
    <x v="3"/>
    <x v="0"/>
    <n v="1725"/>
    <n v="146"/>
    <s v="USD"/>
    <x v="3"/>
    <x v="89"/>
  </r>
  <r>
    <s v="176-10000487"/>
    <x v="0"/>
    <x v="2"/>
    <x v="2"/>
    <n v="170"/>
    <n v="309"/>
    <s v="USD"/>
    <x v="2"/>
    <x v="99"/>
  </r>
  <r>
    <s v="176-10000488"/>
    <x v="1"/>
    <x v="2"/>
    <x v="1"/>
    <n v="1060"/>
    <n v="309"/>
    <s v="USD"/>
    <x v="2"/>
    <x v="45"/>
  </r>
  <r>
    <s v="176-10000489"/>
    <x v="5"/>
    <x v="2"/>
    <x v="0"/>
    <n v="1910"/>
    <n v="152"/>
    <s v="USD"/>
    <x v="0"/>
    <x v="6"/>
  </r>
  <r>
    <s v="176-10000490"/>
    <x v="4"/>
    <x v="0"/>
    <x v="0"/>
    <n v="1016"/>
    <n v="89"/>
    <s v="USD"/>
    <x v="4"/>
    <x v="105"/>
  </r>
  <r>
    <s v="176-10000491"/>
    <x v="4"/>
    <x v="2"/>
    <x v="1"/>
    <n v="943"/>
    <n v="322"/>
    <s v="USD"/>
    <x v="2"/>
    <x v="110"/>
  </r>
  <r>
    <s v="176-10000492"/>
    <x v="4"/>
    <x v="2"/>
    <x v="2"/>
    <n v="1693"/>
    <n v="150"/>
    <s v="USD"/>
    <x v="4"/>
    <x v="117"/>
  </r>
  <r>
    <s v="176-10000493"/>
    <x v="0"/>
    <x v="3"/>
    <x v="0"/>
    <n v="249"/>
    <n v="357"/>
    <s v="USD"/>
    <x v="1"/>
    <x v="17"/>
  </r>
  <r>
    <s v="176-10000494"/>
    <x v="1"/>
    <x v="2"/>
    <x v="0"/>
    <n v="901"/>
    <n v="270"/>
    <s v="USD"/>
    <x v="4"/>
    <x v="22"/>
  </r>
  <r>
    <s v="176-10000495"/>
    <x v="0"/>
    <x v="2"/>
    <x v="0"/>
    <n v="627"/>
    <n v="357"/>
    <s v="USD"/>
    <x v="1"/>
    <x v="89"/>
  </r>
  <r>
    <s v="176-10000496"/>
    <x v="3"/>
    <x v="1"/>
    <x v="2"/>
    <n v="1772"/>
    <n v="173"/>
    <s v="USD"/>
    <x v="3"/>
    <x v="14"/>
  </r>
  <r>
    <s v="176-10000497"/>
    <x v="3"/>
    <x v="3"/>
    <x v="0"/>
    <n v="1471"/>
    <n v="280"/>
    <s v="USD"/>
    <x v="3"/>
    <x v="73"/>
  </r>
  <r>
    <s v="176-10000498"/>
    <x v="1"/>
    <x v="3"/>
    <x v="2"/>
    <n v="1089"/>
    <n v="227"/>
    <s v="USD"/>
    <x v="0"/>
    <x v="31"/>
  </r>
  <r>
    <s v="176-10000499"/>
    <x v="0"/>
    <x v="3"/>
    <x v="0"/>
    <n v="675"/>
    <n v="112"/>
    <s v="USD"/>
    <x v="2"/>
    <x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196A6-C3FF-42DE-827A-649328C91EA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6:D133" firstHeaderRow="0" firstDataRow="1" firstDataCol="1"/>
  <pivotFields count="15"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dataField="1" showAll="0"/>
    <pivotField dataField="1" numFmtId="9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fund Percentage" fld="13" subtotal="average" baseField="0" baseItem="0" numFmtId="9"/>
    <dataField name="Sum of Refund Turnaround Days" fld="12" baseField="0" baseItem="0"/>
    <dataField name="Count of Refund Policy Violation" fld="14" subtotal="count" baseField="0" baseItem="0"/>
  </dataFields>
  <formats count="6"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1" type="button" dataOnly="0" labelOnly="1" outline="0" axis="axisRow" fieldPosition="0"/>
    </format>
    <format dxfId="202">
      <pivotArea dataOnly="0" labelOnly="1" fieldPosition="0">
        <references count="1">
          <reference field="1" count="0"/>
        </references>
      </pivotArea>
    </format>
    <format dxfId="201">
      <pivotArea dataOnly="0" labelOnly="1" grandRow="1" outline="0" fieldPosition="0"/>
    </format>
    <format dxfId="2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7F883-2BA3-40D1-8BED-3EC29EE7296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5:C131" firstHeaderRow="0" firstDataRow="1" firstDataCol="1"/>
  <pivotFields count="6">
    <pivotField dataField="1" showAll="0"/>
    <pivotField axis="axisRow" showAll="0">
      <items count="6">
        <item x="0"/>
        <item x="3"/>
        <item x="1"/>
        <item x="2"/>
        <item x="4"/>
        <item t="default"/>
      </items>
    </pivotField>
    <pivotField dataFiel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</pivotFields>
  <rowFields count="2">
    <field x="1"/>
    <field x="3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Number" fld="0" subtotal="count" baseField="0" baseItem="0"/>
    <dataField name="Sum of ADMAmount" fld="2" baseField="0" baseItem="0" numFmtId="43"/>
  </dataFields>
  <formats count="12">
    <format dxfId="1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1" type="button" dataOnly="0" labelOnly="1" outline="0" axis="axisRow" fieldPosition="0"/>
    </format>
    <format dxfId="195">
      <pivotArea dataOnly="0" labelOnly="1" fieldPosition="0">
        <references count="1">
          <reference field="1" count="0"/>
        </references>
      </pivotArea>
    </format>
    <format dxfId="194">
      <pivotArea dataOnly="0" labelOnly="1" grandRow="1" outline="0" fieldPosition="0"/>
    </format>
    <format dxfId="193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192">
      <pivotArea dataOnly="0" labelOnly="1" fieldPosition="0">
        <references count="2">
          <reference field="1" count="1" selected="0">
            <x v="1"/>
          </reference>
          <reference field="3" count="0"/>
        </references>
      </pivotArea>
    </format>
    <format dxfId="191">
      <pivotArea dataOnly="0" labelOnly="1" fieldPosition="0">
        <references count="2">
          <reference field="1" count="1" selected="0">
            <x v="2"/>
          </reference>
          <reference field="3" count="0"/>
        </references>
      </pivotArea>
    </format>
    <format dxfId="190">
      <pivotArea dataOnly="0" labelOnly="1" fieldPosition="0">
        <references count="2">
          <reference field="1" count="1" selected="0">
            <x v="3"/>
          </reference>
          <reference field="3" count="0"/>
        </references>
      </pivotArea>
    </format>
    <format dxfId="189">
      <pivotArea dataOnly="0" labelOnly="1" fieldPosition="0">
        <references count="2">
          <reference field="1" count="1" selected="0">
            <x v="4"/>
          </reference>
          <reference field="3" count="0"/>
        </references>
      </pivotArea>
    </format>
    <format dxfId="1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D6AAE-DB2E-4356-8303-ABF35ECE41E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04:B510" firstHeaderRow="1" firstDataRow="1" firstDataCol="1"/>
  <pivotFields count="5">
    <pivotField showAll="0"/>
    <pivotField showAll="0"/>
    <pivotField dataField="1" showAll="0"/>
    <pivotField numFmtId="14" showAll="0"/>
    <pivotField axis="axisRow" showAll="0">
      <items count="6">
        <item x="4"/>
        <item x="2"/>
        <item x="0"/>
        <item x="3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Received" fld="2" baseField="0" baseItem="0" numFmtId="43"/>
  </dataFields>
  <formats count="4">
    <format dxfId="187">
      <pivotArea outline="0" collapsedLevelsAreSubtotals="1" fieldPosition="0"/>
    </format>
    <format dxfId="186">
      <pivotArea outline="0" collapsedLevelsAreSubtotals="1" fieldPosition="0"/>
    </format>
    <format dxfId="185">
      <pivotArea dataOnly="0" labelOnly="1" fieldPosition="0">
        <references count="1">
          <reference field="4" count="0"/>
        </references>
      </pivotArea>
    </format>
    <format dxfId="18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D5122-89E9-4E3D-85F6-70A6ED4B1752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6:D61" firstHeaderRow="0" firstDataRow="1" firstDataCol="1"/>
  <pivotFields count="5">
    <pivotField showAll="0"/>
    <pivotField axis="axisRow" showAll="0">
      <items count="5">
        <item x="2"/>
        <item x="3"/>
        <item x="1"/>
        <item x="0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efundable" fld="4" subtotal="count" baseField="0" baseItem="0"/>
    <dataField name="Average of MinFare" fld="2" subtotal="average" baseField="0" baseItem="0"/>
    <dataField name="Average of Penalty" fld="3" subtotal="average" baseField="0" baseItem="0"/>
  </dataFields>
  <formats count="6">
    <format dxfId="150">
      <pivotArea type="all" dataOnly="0" outline="0" fieldPosition="0"/>
    </format>
    <format dxfId="151">
      <pivotArea outline="0" collapsedLevelsAreSubtotals="1" fieldPosition="0"/>
    </format>
    <format dxfId="152">
      <pivotArea field="1" type="button" dataOnly="0" labelOnly="1" outline="0" axis="axisRow" fieldPosition="0"/>
    </format>
    <format dxfId="153">
      <pivotArea dataOnly="0" labelOnly="1" fieldPosition="0">
        <references count="1">
          <reference field="1" count="0"/>
        </references>
      </pivotArea>
    </format>
    <format dxfId="154">
      <pivotArea dataOnly="0" labelOnly="1" grandRow="1" outline="0" fieldPosition="0"/>
    </format>
    <format dxfId="1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F035E-BED6-4C33-A060-F92874547E59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8:C35" firstHeaderRow="0" firstDataRow="1" firstDataCol="1"/>
  <pivotFields count="5">
    <pivotField axis="axisRow" showAll="0">
      <items count="7">
        <item x="5"/>
        <item x="4"/>
        <item x="2"/>
        <item x="1"/>
        <item x="3"/>
        <item x="0"/>
        <item t="default"/>
      </items>
    </pivotField>
    <pivotField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inFare" fld="2" subtotal="average" baseField="0" baseItem="0"/>
    <dataField name="Average of Penalty" fld="3" subtotal="average" baseField="0" baseItem="0"/>
  </dataFields>
  <formats count="7"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0" type="button" dataOnly="0" labelOnly="1" outline="0" axis="axisRow" fieldPosition="0"/>
    </format>
    <format dxfId="180">
      <pivotArea dataOnly="0" labelOnly="1" fieldPosition="0">
        <references count="1">
          <reference field="0" count="0"/>
        </references>
      </pivotArea>
    </format>
    <format dxfId="179">
      <pivotArea dataOnly="0" labelOnly="1" grandRow="1" outline="0" fieldPosition="0"/>
    </format>
    <format dxfId="1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7">
      <pivotArea outline="0" collapsedLevelsAreSubtotals="1" fieldPosition="0"/>
    </format>
  </format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5A19C-8867-4912-8D4B-27CC3F0898CC}" name="PivotTable1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55:C161" firstHeaderRow="0" firstDataRow="1" firstDataCol="1"/>
  <pivotFields count="12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numFmtId="14" showAll="0"/>
    <pivotField dataField="1" showAll="0"/>
    <pivotField numFmtId="14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fundAmount" fld="9" baseField="0" baseItem="0"/>
    <dataField name="Sum of FareCharged" fld="4" baseField="0" baseItem="0"/>
  </dataFields>
  <formats count="1">
    <format dxfId="16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79C62-CAEE-46C0-8965-6085527E9AA3}" name="PivotTable7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7:F133" firstHeaderRow="1" firstDataRow="2" firstDataCol="1"/>
  <pivotFields count="12"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  <pivotField numFmtId="14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fundAmount" fld="9" baseField="0" baseItem="0" numFmtId="43"/>
  </dataFields>
  <formats count="11">
    <format dxfId="176">
      <pivotArea outline="0" collapsedLevelsAreSubtotals="1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type="origin" dataOnly="0" labelOnly="1" outline="0" fieldPosition="0"/>
    </format>
    <format dxfId="172">
      <pivotArea field="2" type="button" dataOnly="0" labelOnly="1" outline="0" axis="axisCol" fieldPosition="0"/>
    </format>
    <format dxfId="171">
      <pivotArea type="topRight" dataOnly="0" labelOnly="1" outline="0" fieldPosition="0"/>
    </format>
    <format dxfId="170">
      <pivotArea field="11" type="button" dataOnly="0" labelOnly="1" outline="0" axis="axisRow" fieldPosition="0"/>
    </format>
    <format dxfId="169">
      <pivotArea dataOnly="0" labelOnly="1" fieldPosition="0">
        <references count="1">
          <reference field="11" count="0"/>
        </references>
      </pivotArea>
    </format>
    <format dxfId="168">
      <pivotArea dataOnly="0" labelOnly="1" grandRow="1" outline="0" fieldPosition="0"/>
    </format>
    <format dxfId="167">
      <pivotArea dataOnly="0" labelOnly="1" fieldPosition="0">
        <references count="1">
          <reference field="2" count="0"/>
        </references>
      </pivotArea>
    </format>
    <format dxfId="166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D21B8-08DA-4597-80F3-BD1958E70192}" name="PivotTable17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74:E580" firstHeaderRow="0" firstDataRow="1" firstDataCol="1"/>
  <pivotFields count="11">
    <pivotField dataField="1"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numFmtId="14" showAll="0">
      <items count="119">
        <item x="4"/>
        <item x="114"/>
        <item x="88"/>
        <item x="106"/>
        <item x="46"/>
        <item x="104"/>
        <item x="8"/>
        <item x="76"/>
        <item x="25"/>
        <item x="26"/>
        <item x="75"/>
        <item x="6"/>
        <item x="1"/>
        <item x="51"/>
        <item x="79"/>
        <item x="14"/>
        <item x="71"/>
        <item x="103"/>
        <item x="55"/>
        <item x="43"/>
        <item x="94"/>
        <item x="91"/>
        <item x="74"/>
        <item x="56"/>
        <item x="64"/>
        <item x="45"/>
        <item x="21"/>
        <item x="73"/>
        <item x="34"/>
        <item x="78"/>
        <item x="102"/>
        <item x="5"/>
        <item x="57"/>
        <item x="23"/>
        <item x="96"/>
        <item x="24"/>
        <item x="13"/>
        <item x="93"/>
        <item x="9"/>
        <item x="77"/>
        <item x="0"/>
        <item x="107"/>
        <item x="70"/>
        <item x="29"/>
        <item x="108"/>
        <item x="67"/>
        <item x="117"/>
        <item x="100"/>
        <item x="83"/>
        <item x="59"/>
        <item x="37"/>
        <item x="58"/>
        <item x="65"/>
        <item x="19"/>
        <item x="11"/>
        <item x="72"/>
        <item x="18"/>
        <item x="54"/>
        <item x="115"/>
        <item x="86"/>
        <item x="42"/>
        <item x="112"/>
        <item x="44"/>
        <item x="81"/>
        <item x="53"/>
        <item x="101"/>
        <item x="12"/>
        <item x="116"/>
        <item x="110"/>
        <item x="82"/>
        <item x="98"/>
        <item x="2"/>
        <item x="3"/>
        <item x="105"/>
        <item x="10"/>
        <item x="38"/>
        <item x="32"/>
        <item x="27"/>
        <item x="85"/>
        <item x="48"/>
        <item x="68"/>
        <item x="20"/>
        <item x="90"/>
        <item x="33"/>
        <item x="99"/>
        <item x="22"/>
        <item x="95"/>
        <item x="109"/>
        <item x="16"/>
        <item x="89"/>
        <item x="30"/>
        <item x="92"/>
        <item x="66"/>
        <item x="97"/>
        <item x="113"/>
        <item x="80"/>
        <item x="62"/>
        <item x="111"/>
        <item x="35"/>
        <item x="61"/>
        <item x="28"/>
        <item x="49"/>
        <item x="52"/>
        <item x="69"/>
        <item x="40"/>
        <item x="84"/>
        <item x="47"/>
        <item x="63"/>
        <item x="39"/>
        <item x="7"/>
        <item x="36"/>
        <item x="15"/>
        <item x="17"/>
        <item x="31"/>
        <item x="87"/>
        <item x="50"/>
        <item x="60"/>
        <item x="4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FareCharged2" fld="4" subtotal="average" baseField="0" baseItem="0"/>
    <dataField name="Sum of FareCharged3" fld="4" baseField="0" baseItem="0"/>
    <dataField name="Count of TicketNumber" fld="0" subtotal="count" baseField="0" baseItem="0"/>
    <dataField name="Max of FareCharged" fld="4" subtotal="max" baseField="0" baseItem="0"/>
  </dataFields>
  <formats count="1">
    <format dxfId="158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D930D-CF58-446D-9C72-62C38BF44B5A}" name="PivotTable16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46:D552" firstHeaderRow="0" firstDataRow="1" firstDataCol="1"/>
  <pivotFields count="11"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numFmtId="14" showAll="0">
      <items count="119">
        <item x="4"/>
        <item x="114"/>
        <item x="88"/>
        <item x="106"/>
        <item x="46"/>
        <item x="104"/>
        <item x="8"/>
        <item x="76"/>
        <item x="25"/>
        <item x="26"/>
        <item x="75"/>
        <item x="6"/>
        <item x="1"/>
        <item x="51"/>
        <item x="79"/>
        <item x="14"/>
        <item x="71"/>
        <item x="103"/>
        <item x="55"/>
        <item x="43"/>
        <item x="94"/>
        <item x="91"/>
        <item x="74"/>
        <item x="56"/>
        <item x="64"/>
        <item x="45"/>
        <item x="21"/>
        <item x="73"/>
        <item x="34"/>
        <item x="78"/>
        <item x="102"/>
        <item x="5"/>
        <item x="57"/>
        <item x="23"/>
        <item x="96"/>
        <item x="24"/>
        <item x="13"/>
        <item x="93"/>
        <item x="9"/>
        <item x="77"/>
        <item x="0"/>
        <item x="107"/>
        <item x="70"/>
        <item x="29"/>
        <item x="108"/>
        <item x="67"/>
        <item x="117"/>
        <item x="100"/>
        <item x="83"/>
        <item x="59"/>
        <item x="37"/>
        <item x="58"/>
        <item x="65"/>
        <item x="19"/>
        <item x="11"/>
        <item x="72"/>
        <item x="18"/>
        <item x="54"/>
        <item x="115"/>
        <item x="86"/>
        <item x="42"/>
        <item x="112"/>
        <item x="44"/>
        <item x="81"/>
        <item x="53"/>
        <item x="101"/>
        <item x="12"/>
        <item x="116"/>
        <item x="110"/>
        <item x="82"/>
        <item x="98"/>
        <item x="2"/>
        <item x="3"/>
        <item x="105"/>
        <item x="10"/>
        <item x="38"/>
        <item x="32"/>
        <item x="27"/>
        <item x="85"/>
        <item x="48"/>
        <item x="68"/>
        <item x="20"/>
        <item x="90"/>
        <item x="33"/>
        <item x="99"/>
        <item x="22"/>
        <item x="95"/>
        <item x="109"/>
        <item x="16"/>
        <item x="89"/>
        <item x="30"/>
        <item x="92"/>
        <item x="66"/>
        <item x="97"/>
        <item x="113"/>
        <item x="80"/>
        <item x="62"/>
        <item x="111"/>
        <item x="35"/>
        <item x="61"/>
        <item x="28"/>
        <item x="49"/>
        <item x="52"/>
        <item x="69"/>
        <item x="40"/>
        <item x="84"/>
        <item x="47"/>
        <item x="63"/>
        <item x="39"/>
        <item x="7"/>
        <item x="36"/>
        <item x="15"/>
        <item x="17"/>
        <item x="31"/>
        <item x="87"/>
        <item x="50"/>
        <item x="60"/>
        <item x="4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axes" fld="5" baseField="0" baseItem="0"/>
    <dataField name="Sum of FareCharged" fld="4" baseField="0" baseItem="0"/>
    <dataField name="Count of TicketNumber" fld="0" subtotal="count" baseField="0" baseItem="0"/>
  </dataFields>
  <formats count="1">
    <format dxfId="159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CAFAE-446B-46E4-AE8A-1D218FD19D28}" name="PivotTable1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16:M523" firstHeaderRow="1" firstDataRow="3" firstDataCol="1"/>
  <pivotFields count="11">
    <pivotField dataField="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numFmtId="14" showAll="0">
      <items count="119">
        <item x="4"/>
        <item x="114"/>
        <item x="88"/>
        <item x="106"/>
        <item x="46"/>
        <item x="104"/>
        <item x="8"/>
        <item x="76"/>
        <item x="25"/>
        <item x="26"/>
        <item x="75"/>
        <item x="6"/>
        <item x="1"/>
        <item x="51"/>
        <item x="79"/>
        <item x="14"/>
        <item x="71"/>
        <item x="103"/>
        <item x="55"/>
        <item x="43"/>
        <item x="94"/>
        <item x="91"/>
        <item x="74"/>
        <item x="56"/>
        <item x="64"/>
        <item x="45"/>
        <item x="21"/>
        <item x="73"/>
        <item x="34"/>
        <item x="78"/>
        <item x="102"/>
        <item x="5"/>
        <item x="57"/>
        <item x="23"/>
        <item x="96"/>
        <item x="24"/>
        <item x="13"/>
        <item x="93"/>
        <item x="9"/>
        <item x="77"/>
        <item x="0"/>
        <item x="107"/>
        <item x="70"/>
        <item x="29"/>
        <item x="108"/>
        <item x="67"/>
        <item x="117"/>
        <item x="100"/>
        <item x="83"/>
        <item x="59"/>
        <item x="37"/>
        <item x="58"/>
        <item x="65"/>
        <item x="19"/>
        <item x="11"/>
        <item x="72"/>
        <item x="18"/>
        <item x="54"/>
        <item x="115"/>
        <item x="86"/>
        <item x="42"/>
        <item x="112"/>
        <item x="44"/>
        <item x="81"/>
        <item x="53"/>
        <item x="101"/>
        <item x="12"/>
        <item x="116"/>
        <item x="110"/>
        <item x="82"/>
        <item x="98"/>
        <item x="2"/>
        <item x="3"/>
        <item x="105"/>
        <item x="10"/>
        <item x="38"/>
        <item x="32"/>
        <item x="27"/>
        <item x="85"/>
        <item x="48"/>
        <item x="68"/>
        <item x="20"/>
        <item x="90"/>
        <item x="33"/>
        <item x="99"/>
        <item x="22"/>
        <item x="95"/>
        <item x="109"/>
        <item x="16"/>
        <item x="89"/>
        <item x="30"/>
        <item x="92"/>
        <item x="66"/>
        <item x="97"/>
        <item x="113"/>
        <item x="80"/>
        <item x="62"/>
        <item x="111"/>
        <item x="35"/>
        <item x="61"/>
        <item x="28"/>
        <item x="49"/>
        <item x="52"/>
        <item x="69"/>
        <item x="40"/>
        <item x="84"/>
        <item x="47"/>
        <item x="63"/>
        <item x="39"/>
        <item x="7"/>
        <item x="36"/>
        <item x="15"/>
        <item x="17"/>
        <item x="31"/>
        <item x="87"/>
        <item x="50"/>
        <item x="60"/>
        <item x="4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TicketNumber" fld="0" subtotal="count" baseField="0" baseItem="0"/>
    <dataField name="Average of FareCharged" fld="4" subtotal="average" baseField="0" baseItem="0"/>
    <dataField name="Sum of FareCharged2" fld="4" baseField="0" baseItem="0"/>
  </dataFields>
  <formats count="3">
    <format dxfId="162">
      <pivotArea outline="0" collapsedLevelsAreSubtotals="1" fieldPosition="0">
        <references count="2">
          <reference field="4294967294" count="2" selected="0">
            <x v="1"/>
            <x v="2"/>
          </reference>
          <reference field="3" count="1" selected="0">
            <x v="0"/>
          </reference>
        </references>
      </pivotArea>
    </format>
    <format dxfId="161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3" count="2" selected="0">
            <x v="1"/>
            <x v="2"/>
          </reference>
        </references>
      </pivotArea>
    </format>
    <format dxfId="160">
      <pivotArea field="3" grandCol="1" outline="0" collapsedLevelsAreSubtotals="1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</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99E2D-B418-4B82-8697-F2EC9A131707}" name="PivotTable14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4:M513" firstHeaderRow="1" firstDataRow="3" firstDataCol="1"/>
  <pivotFields count="11">
    <pivotField dataField="1" showAll="0"/>
    <pivotField axis="axisRow" showAll="0">
      <items count="7">
        <item x="4"/>
        <item x="1"/>
        <item x="2"/>
        <item x="3"/>
        <item x="0"/>
        <item x="5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numFmtId="14" showAll="0">
      <items count="119">
        <item x="4"/>
        <item x="114"/>
        <item x="88"/>
        <item x="106"/>
        <item x="46"/>
        <item x="104"/>
        <item x="8"/>
        <item x="76"/>
        <item x="25"/>
        <item x="26"/>
        <item x="75"/>
        <item x="6"/>
        <item x="1"/>
        <item x="51"/>
        <item x="79"/>
        <item x="14"/>
        <item x="71"/>
        <item x="103"/>
        <item x="55"/>
        <item x="43"/>
        <item x="94"/>
        <item x="91"/>
        <item x="74"/>
        <item x="56"/>
        <item x="64"/>
        <item x="45"/>
        <item x="21"/>
        <item x="73"/>
        <item x="34"/>
        <item x="78"/>
        <item x="102"/>
        <item x="5"/>
        <item x="57"/>
        <item x="23"/>
        <item x="96"/>
        <item x="24"/>
        <item x="13"/>
        <item x="93"/>
        <item x="9"/>
        <item x="77"/>
        <item x="0"/>
        <item x="107"/>
        <item x="70"/>
        <item x="29"/>
        <item x="108"/>
        <item x="67"/>
        <item x="117"/>
        <item x="100"/>
        <item x="83"/>
        <item x="59"/>
        <item x="37"/>
        <item x="58"/>
        <item x="65"/>
        <item x="19"/>
        <item x="11"/>
        <item x="72"/>
        <item x="18"/>
        <item x="54"/>
        <item x="115"/>
        <item x="86"/>
        <item x="42"/>
        <item x="112"/>
        <item x="44"/>
        <item x="81"/>
        <item x="53"/>
        <item x="101"/>
        <item x="12"/>
        <item x="116"/>
        <item x="110"/>
        <item x="82"/>
        <item x="98"/>
        <item x="2"/>
        <item x="3"/>
        <item x="105"/>
        <item x="10"/>
        <item x="38"/>
        <item x="32"/>
        <item x="27"/>
        <item x="85"/>
        <item x="48"/>
        <item x="68"/>
        <item x="20"/>
        <item x="90"/>
        <item x="33"/>
        <item x="99"/>
        <item x="22"/>
        <item x="95"/>
        <item x="109"/>
        <item x="16"/>
        <item x="89"/>
        <item x="30"/>
        <item x="92"/>
        <item x="66"/>
        <item x="97"/>
        <item x="113"/>
        <item x="80"/>
        <item x="62"/>
        <item x="111"/>
        <item x="35"/>
        <item x="61"/>
        <item x="28"/>
        <item x="49"/>
        <item x="52"/>
        <item x="69"/>
        <item x="40"/>
        <item x="84"/>
        <item x="47"/>
        <item x="63"/>
        <item x="39"/>
        <item x="7"/>
        <item x="36"/>
        <item x="15"/>
        <item x="17"/>
        <item x="31"/>
        <item x="87"/>
        <item x="50"/>
        <item x="60"/>
        <item x="4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7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 of TicketNumber" fld="0" subtotal="count" baseField="0" baseItem="0"/>
    <dataField name="Sum of FareCharged" fld="4" baseField="0" baseItem="0"/>
  </dataFields>
  <formats count="1">
    <format dxfId="16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6C9D5B7-CAE6-41E3-982A-19933FA61553}" autoFormatId="16" applyNumberFormats="0" applyBorderFormats="0" applyFontFormats="0" applyPatternFormats="0" applyAlignmentFormats="0" applyWidthHeightFormats="0">
  <queryTableRefresh nextId="16" unboundColumnsRight="3">
    <queryTableFields count="15">
      <queryTableField id="1" name="TicketNumber" tableColumnId="1"/>
      <queryTableField id="2" name="Route" tableColumnId="2"/>
      <queryTableField id="3" name="Class" tableColumnId="3"/>
      <queryTableField id="4" name="PassengerType" tableColumnId="4"/>
      <queryTableField id="5" name="FareCharged" tableColumnId="5"/>
      <queryTableField id="6" name="Taxes" tableColumnId="6"/>
      <queryTableField id="7" name="Currency" tableColumnId="7"/>
      <queryTableField id="8" name="AgentCode" tableColumnId="8"/>
      <queryTableField id="9" name="SaleDate" tableColumnId="9"/>
      <queryTableField id="10" name="RefundAmount" tableColumnId="10"/>
      <queryTableField id="11" name="RefundDate" tableColumnId="11"/>
      <queryTableField id="12" name="RefundReason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149C6FB0-9682-4347-9C17-662C96A93511}" autoFormatId="16" applyNumberFormats="0" applyBorderFormats="0" applyFontFormats="0" applyPatternFormats="0" applyAlignmentFormats="0" applyWidthHeightFormats="0">
  <queryTableRefresh nextId="7">
    <queryTableFields count="6">
      <queryTableField id="1" name="TicketNumber" tableColumnId="1"/>
      <queryTableField id="2" name="AgentCode" tableColumnId="2"/>
      <queryTableField id="3" name="ADMAmount" tableColumnId="3"/>
      <queryTableField id="4" name="Reason" tableColumnId="4"/>
      <queryTableField id="5" name="SettlementStatus" tableColumnId="5"/>
      <queryTableField id="6" name="ADM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B50A7304-CDE0-4861-BC07-36A1F546F6A1}" autoFormatId="16" applyNumberFormats="0" applyBorderFormats="0" applyFontFormats="0" applyPatternFormats="0" applyAlignmentFormats="0" applyWidthHeightFormats="0">
  <queryTableRefresh nextId="6">
    <queryTableFields count="5">
      <queryTableField id="1" name="ReceiptID" tableColumnId="1"/>
      <queryTableField id="2" name="TicketNumber" tableColumnId="2"/>
      <queryTableField id="3" name="AmountReceived" tableColumnId="3"/>
      <queryTableField id="4" name="ReceiptDate" tableColumnId="4"/>
      <queryTableField id="5" name="PaymentChannel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0C07702-EF7A-42C2-87F8-A8EBDFC23DF6}" autoFormatId="16" applyNumberFormats="0" applyBorderFormats="0" applyFontFormats="0" applyPatternFormats="0" applyAlignmentFormats="0" applyWidthHeightFormats="0">
  <queryTableRefresh nextId="6">
    <queryTableFields count="5">
      <queryTableField id="1" name="Route" tableColumnId="1"/>
      <queryTableField id="2" name="Class" tableColumnId="2"/>
      <queryTableField id="3" name="MinFare" tableColumnId="3"/>
      <queryTableField id="4" name="Penalty" tableColumnId="4"/>
      <queryTableField id="5" name="Refundabl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480C7C0-481C-4B5B-9B77-D8B23D2420CB}" autoFormatId="16" applyNumberFormats="0" applyBorderFormats="0" applyFontFormats="0" applyPatternFormats="0" applyAlignmentFormats="0" applyWidthHeightFormats="0">
  <queryTableRefresh nextId="15">
    <queryTableFields count="13">
      <queryTableField id="1" name="TicketNumber" tableColumnId="1"/>
      <queryTableField id="2" name="Route" tableColumnId="2"/>
      <queryTableField id="3" name="Class" tableColumnId="3"/>
      <queryTableField id="4" name="PassengerType" tableColumnId="4"/>
      <queryTableField id="5" name="FareCharged" tableColumnId="5"/>
      <queryTableField id="6" name="Taxes" tableColumnId="6"/>
      <queryTableField id="13" dataBound="0" tableColumnId="13"/>
      <queryTableField id="7" name="Currency" tableColumnId="7"/>
      <queryTableField id="8" name="AgentCode" tableColumnId="8"/>
      <queryTableField id="9" name="SaleDate" tableColumnId="9"/>
      <queryTableField id="10" name="RefundAmount" tableColumnId="10"/>
      <queryTableField id="11" name="RefundDate" tableColumnId="11"/>
      <queryTableField id="12" name="RefundReason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133D2A6-04C6-4A92-A0A2-A83078F0A952}" autoFormatId="16" applyNumberFormats="0" applyBorderFormats="0" applyFontFormats="0" applyPatternFormats="0" applyAlignmentFormats="0" applyWidthHeightFormats="0">
  <queryTableRefresh nextId="10">
    <queryTableFields count="9">
      <queryTableField id="1" name="TicketNumber" tableColumnId="1"/>
      <queryTableField id="2" name="Route" tableColumnId="2"/>
      <queryTableField id="3" name="Class" tableColumnId="3"/>
      <queryTableField id="4" name="PassengerType" tableColumnId="4"/>
      <queryTableField id="5" name="FareCharged" tableColumnId="5"/>
      <queryTableField id="6" name="Taxes" tableColumnId="6"/>
      <queryTableField id="7" name="Currency" tableColumnId="7"/>
      <queryTableField id="8" name="AgentCode" tableColumnId="8"/>
      <queryTableField id="9" name="Sale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DE8B21-62DE-4EA5-8148-ED752A29E33C}" name="Refund_Compliance" displayName="Refund_Compliance" ref="A1:O122" tableType="queryTable" totalsRowShown="0">
  <autoFilter ref="A1:O122" xr:uid="{23DE8B21-62DE-4EA5-8148-ED752A29E33C}"/>
  <tableColumns count="15">
    <tableColumn id="1" xr3:uid="{103BA896-95BD-45BB-8A35-A884606AC3F7}" uniqueName="1" name="TicketNumber" queryTableFieldId="1" dataDxfId="216"/>
    <tableColumn id="2" xr3:uid="{026D2588-E41A-48C9-90A2-CC879B36778F}" uniqueName="2" name="Route" queryTableFieldId="2" dataDxfId="215"/>
    <tableColumn id="3" xr3:uid="{235EE027-0499-4350-8A15-2EDB0486565F}" uniqueName="3" name="Class" queryTableFieldId="3" dataDxfId="214"/>
    <tableColumn id="4" xr3:uid="{212F797C-3ECF-4F2F-AB67-8432053EB9D9}" uniqueName="4" name="PassengerType" queryTableFieldId="4" dataDxfId="213"/>
    <tableColumn id="5" xr3:uid="{CB69EBB5-2036-4D9D-B00D-11A8CAEBEC1E}" uniqueName="5" name="FareCharged" queryTableFieldId="5"/>
    <tableColumn id="6" xr3:uid="{FAA4812F-5962-4D1B-9FCE-0E3F81A111A2}" uniqueName="6" name="Taxes" queryTableFieldId="6"/>
    <tableColumn id="7" xr3:uid="{2F6AF9D8-735E-4F62-A112-4687DD4ED2B2}" uniqueName="7" name="Currency" queryTableFieldId="7" dataDxfId="212"/>
    <tableColumn id="8" xr3:uid="{33472A45-A418-429C-91F5-E8BD0913DBB2}" uniqueName="8" name="AgentCode" queryTableFieldId="8" dataDxfId="211"/>
    <tableColumn id="9" xr3:uid="{1D1F99C0-667A-402C-8457-CFA0D70D8FF5}" uniqueName="9" name="SaleDate" queryTableFieldId="9" dataDxfId="210"/>
    <tableColumn id="10" xr3:uid="{E206FA83-C5F5-4C2B-B385-96D3408780C9}" uniqueName="10" name="RefundAmount" queryTableFieldId="10"/>
    <tableColumn id="11" xr3:uid="{1DCB38AE-B25F-4450-AB8E-4EC72BC2A91E}" uniqueName="11" name="RefundDate" queryTableFieldId="11" dataDxfId="209"/>
    <tableColumn id="12" xr3:uid="{557857DE-3C57-4968-AFA6-A9F7826A3B23}" uniqueName="12" name="RefundReason" queryTableFieldId="12" dataDxfId="208"/>
    <tableColumn id="13" xr3:uid="{AB4DCCE4-56DC-4CC0-B4A3-940066FA16FB}" uniqueName="13" name="Refund Turnaround Days" queryTableFieldId="13" dataDxfId="207">
      <calculatedColumnFormula>Refund_Compliance[[#This Row],[SaleDate]]-Refund_Compliance[[#This Row],[RefundDate]]</calculatedColumnFormula>
    </tableColumn>
    <tableColumn id="14" xr3:uid="{0088791F-F4EB-4DD0-A8E5-791A3F43618B}" uniqueName="14" name="Refund Percentage" queryTableFieldId="14" dataCellStyle="Percent">
      <calculatedColumnFormula>Refund_Compliance[[#This Row],[RefundAmount]]/Refund_Compliance[[#This Row],[FareCharged]]</calculatedColumnFormula>
    </tableColumn>
    <tableColumn id="15" xr3:uid="{B9857FE6-642F-44FB-8E19-E2D2D0B1BB18}" uniqueName="15" name="Refund Policy Violation" queryTableFieldId="15" dataDxfId="206">
      <calculatedColumnFormula>IF(Refund_Compliance[[#This Row],[Refund Turnaround Days]]&gt;-14,"SLA Breach","OK")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CF3CB8-AAD3-4CBD-ADC1-0C9D3AF2F3F2}" name="ADM_History" displayName="ADM_History" ref="A1:F101" tableType="queryTable" totalsRowShown="0">
  <autoFilter ref="A1:F101" xr:uid="{22CF3CB8-AAD3-4CBD-ADC1-0C9D3AF2F3F2}"/>
  <tableColumns count="6">
    <tableColumn id="1" xr3:uid="{EDF246F0-FDCA-41BF-B421-6AA8942289C2}" uniqueName="1" name="TicketNumber" queryTableFieldId="1" dataDxfId="221"/>
    <tableColumn id="2" xr3:uid="{7B199F80-FCEF-4E26-9B47-C4F1B1FA5FBC}" uniqueName="2" name="AgentCode" queryTableFieldId="2" dataDxfId="220"/>
    <tableColumn id="3" xr3:uid="{D8351EC1-C1CC-4C73-9DE0-F99D5C414B4D}" uniqueName="3" name="ADMAmount" queryTableFieldId="3"/>
    <tableColumn id="4" xr3:uid="{EB0E82FA-E4BA-49B2-B0BB-1E179E71D46B}" uniqueName="4" name="Reason" queryTableFieldId="4" dataDxfId="219"/>
    <tableColumn id="5" xr3:uid="{52BEE5AA-84E2-4DB1-ADBF-F9744425BE66}" uniqueName="5" name="SettlementStatus" queryTableFieldId="5" dataDxfId="218"/>
    <tableColumn id="6" xr3:uid="{69E277EE-19B7-43AB-858F-2D1F580B6090}" uniqueName="6" name="ADMDate" queryTableFieldId="6" dataDxfId="2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7A1D69-D94A-4E72-A7EE-7CA600716679}" name="Bank_Receipts" displayName="Bank_Receipts" ref="A1:E501" tableType="queryTable" totalsRowShown="0">
  <autoFilter ref="A1:E501" xr:uid="{597A1D69-D94A-4E72-A7EE-7CA600716679}"/>
  <tableColumns count="5">
    <tableColumn id="1" xr3:uid="{A9AE96D3-5DCC-4071-AEA3-93045F1B0FB3}" uniqueName="1" name="ReceiptID" queryTableFieldId="1" dataDxfId="225"/>
    <tableColumn id="2" xr3:uid="{35160ED1-0C7A-4D54-84D3-44D066005884}" uniqueName="2" name="TicketNumber" queryTableFieldId="2" dataDxfId="224"/>
    <tableColumn id="3" xr3:uid="{E63F8F6C-8DE3-4EC6-B442-12687E42B63F}" uniqueName="3" name="AmountReceived" queryTableFieldId="3"/>
    <tableColumn id="4" xr3:uid="{4B85B7C0-4A85-46FB-B489-55A45AE37E10}" uniqueName="4" name="ReceiptDate" queryTableFieldId="4" dataDxfId="223"/>
    <tableColumn id="5" xr3:uid="{C8277E6F-2753-4BB8-9A04-1ADFFE0EFF41}" uniqueName="5" name="PaymentChannel" queryTableFieldId="5" dataDxfId="2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556C7C-8D6E-4C13-B6B3-B6174176A4EB}" name="Fare_Rules" displayName="Fare_Rules" ref="A1:E25" tableType="queryTable" totalsRowShown="0">
  <autoFilter ref="A1:E25" xr:uid="{98556C7C-8D6E-4C13-B6B3-B6174176A4EB}"/>
  <tableColumns count="5">
    <tableColumn id="1" xr3:uid="{C8B23B6C-DB6C-425A-B82D-0742324E5846}" uniqueName="1" name="Route" queryTableFieldId="1" dataDxfId="228"/>
    <tableColumn id="2" xr3:uid="{6BF0FD0A-F176-4FFB-915D-73CB484C8B3C}" uniqueName="2" name="Class" queryTableFieldId="2" dataDxfId="227"/>
    <tableColumn id="3" xr3:uid="{8B4DCD45-590C-4FA4-87EE-8A1C1DA15211}" uniqueName="3" name="MinFare" queryTableFieldId="3"/>
    <tableColumn id="4" xr3:uid="{B960630A-8974-4CDD-874B-784704A1A80A}" uniqueName="4" name="Penalty" queryTableFieldId="4"/>
    <tableColumn id="5" xr3:uid="{9462F15D-DE5C-4149-9B6C-169B9C0430E2}" uniqueName="5" name="Refundable" queryTableFieldId="5" dataDxfId="2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A4E089-DD1A-4020-BDF4-CECB99CD6042}" name="Refunds" displayName="Refunds" ref="A1:M122" tableType="queryTable" totalsRowShown="0">
  <autoFilter ref="A1:M122" xr:uid="{D8A4E089-DD1A-4020-BDF4-CECB99CD6042}"/>
  <tableColumns count="13">
    <tableColumn id="1" xr3:uid="{929A9055-7675-4FA1-AE95-DD44E3769E2E}" uniqueName="1" name="TicketNumber" queryTableFieldId="1" dataDxfId="237"/>
    <tableColumn id="2" xr3:uid="{4891F35C-A71E-4D54-B047-25754765A8E3}" uniqueName="2" name="Route" queryTableFieldId="2" dataDxfId="236"/>
    <tableColumn id="3" xr3:uid="{170D1960-4E71-4078-8EC9-E46ACBD0B1C4}" uniqueName="3" name="Class" queryTableFieldId="3" dataDxfId="235"/>
    <tableColumn id="4" xr3:uid="{A9710DC8-7713-4269-847C-5A92A4120E7A}" uniqueName="4" name="PassengerType" queryTableFieldId="4" dataDxfId="234"/>
    <tableColumn id="5" xr3:uid="{7AC3AF8D-CA36-4231-BFF4-A92CD477BB44}" uniqueName="5" name="FareCharged" queryTableFieldId="5"/>
    <tableColumn id="6" xr3:uid="{A20055CB-FB49-4C18-B053-1A553EAC6719}" uniqueName="6" name="Taxes" queryTableFieldId="6"/>
    <tableColumn id="13" xr3:uid="{3273D0F9-9D2F-4C80-82C0-247F11002349}" uniqueName="13" name="Refund Lag Time" queryTableFieldId="13" dataDxfId="165">
      <calculatedColumnFormula>Refunds[[#This Row],[RefundDate]]-Refunds[[#This Row],[SaleDate]]</calculatedColumnFormula>
    </tableColumn>
    <tableColumn id="7" xr3:uid="{9000E3FB-4B18-4BD4-B4B2-DDC210EB2315}" uniqueName="7" name="Currency" queryTableFieldId="7" dataDxfId="233"/>
    <tableColumn id="8" xr3:uid="{644FADB8-E558-4D1C-A637-FC6EADF99619}" uniqueName="8" name="AgentCode" queryTableFieldId="8" dataDxfId="232"/>
    <tableColumn id="9" xr3:uid="{70D110BD-3624-4C08-8873-6CBB1A243732}" uniqueName="9" name="SaleDate" queryTableFieldId="9" dataDxfId="231"/>
    <tableColumn id="10" xr3:uid="{0EEED5F1-5F94-459C-9D9B-A2628521AAE1}" uniqueName="10" name="RefundAmount" queryTableFieldId="10"/>
    <tableColumn id="11" xr3:uid="{45B9F096-D365-41E4-A251-83D6DBB62C5D}" uniqueName="11" name="RefundDate" queryTableFieldId="11" dataDxfId="230"/>
    <tableColumn id="12" xr3:uid="{CE14F9C2-E408-46BD-971C-599CF5C83598}" uniqueName="12" name="RefundReason" queryTableFieldId="12" dataDxfId="22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32EC3-8C1D-4821-85B8-4CCFBF21C1C3}" name="Tickets_Sold" displayName="Tickets_Sold" ref="A1:I501" tableType="queryTable" totalsRowShown="0">
  <autoFilter ref="A1:I501" xr:uid="{2F332EC3-8C1D-4821-85B8-4CCFBF21C1C3}"/>
  <tableColumns count="9">
    <tableColumn id="1" xr3:uid="{5EE70B1B-6C80-4DA6-9F6B-F27E9660488B}" uniqueName="1" name="TicketNumber" queryTableFieldId="1" dataDxfId="244"/>
    <tableColumn id="2" xr3:uid="{F99684FB-5371-4C07-98B4-3611C321A80E}" uniqueName="2" name="Route" queryTableFieldId="2" dataDxfId="243"/>
    <tableColumn id="3" xr3:uid="{96893B12-B2A9-4CE5-9F4C-90BBD7945ED0}" uniqueName="3" name="Class" queryTableFieldId="3" dataDxfId="242"/>
    <tableColumn id="4" xr3:uid="{C9AB7844-42AD-47D6-B732-885870298E4E}" uniqueName="4" name="PassengerType" queryTableFieldId="4" dataDxfId="241"/>
    <tableColumn id="5" xr3:uid="{3CB01247-2D42-42B0-8B9F-79C5DCD00FF8}" uniqueName="5" name="FareCharged" queryTableFieldId="5"/>
    <tableColumn id="6" xr3:uid="{859018AE-C696-4165-B3BC-4DA03AFAEABB}" uniqueName="6" name="Taxes" queryTableFieldId="6"/>
    <tableColumn id="7" xr3:uid="{054EA30E-1D1B-4B26-9CD4-5ACB7CFD30BB}" uniqueName="7" name="Currency" queryTableFieldId="7" dataDxfId="240"/>
    <tableColumn id="8" xr3:uid="{756D26A1-6CE7-4966-A6AF-A45613DA479E}" uniqueName="8" name="AgentCode" queryTableFieldId="8" dataDxfId="239"/>
    <tableColumn id="9" xr3:uid="{D684FE1B-D7FA-4B04-B26E-6C092BBFF0C1}" uniqueName="9" name="SaleDate" queryTableFieldId="9" dataDxfId="2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table" Target="../tables/table6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6"/>
  <sheetViews>
    <sheetView topLeftCell="A271" zoomScale="80" zoomScaleNormal="80" workbookViewId="0">
      <selection activeCell="B84" sqref="B84"/>
    </sheetView>
  </sheetViews>
  <sheetFormatPr defaultRowHeight="14.5" x14ac:dyDescent="0.35"/>
  <cols>
    <col min="1" max="1" width="41.26953125" style="31" customWidth="1"/>
    <col min="2" max="2" width="27" style="31" bestFit="1" customWidth="1"/>
    <col min="3" max="3" width="26.36328125" style="31" bestFit="1" customWidth="1"/>
    <col min="4" max="4" width="28.36328125" style="31" bestFit="1" customWidth="1"/>
    <col min="5" max="5" width="41.453125" style="31" bestFit="1" customWidth="1"/>
    <col min="6" max="6" width="26.36328125" style="31" bestFit="1" customWidth="1"/>
    <col min="7" max="7" width="28.36328125" style="31" bestFit="1" customWidth="1"/>
    <col min="8" max="8" width="28.1796875" style="31" bestFit="1" customWidth="1"/>
    <col min="9" max="9" width="29.90625" style="31" bestFit="1" customWidth="1"/>
    <col min="10" max="10" width="9" style="31" customWidth="1"/>
    <col min="11" max="11" width="27.6328125" style="31" bestFit="1" customWidth="1"/>
    <col min="12" max="12" width="36.90625" style="31" bestFit="1" customWidth="1"/>
    <col min="13" max="13" width="38.08984375" style="31" bestFit="1" customWidth="1"/>
    <col min="14" max="14" width="34.90625" style="31" bestFit="1" customWidth="1"/>
    <col min="15" max="15" width="8.7265625" style="31"/>
    <col min="16" max="16" width="23.6328125" style="31" bestFit="1" customWidth="1"/>
    <col min="17" max="16384" width="8.7265625" style="31"/>
  </cols>
  <sheetData>
    <row r="1" spans="1:6" x14ac:dyDescent="0.35">
      <c r="A1" s="56" t="s">
        <v>1103</v>
      </c>
      <c r="B1" s="57"/>
      <c r="C1" s="57"/>
      <c r="D1" s="57"/>
      <c r="E1" s="57"/>
    </row>
    <row r="2" spans="1:6" x14ac:dyDescent="0.35">
      <c r="A2" s="52" t="s">
        <v>1067</v>
      </c>
      <c r="B2" s="53"/>
      <c r="C2" s="53"/>
      <c r="D2" s="53"/>
      <c r="E2" s="53"/>
      <c r="F2" s="53"/>
    </row>
    <row r="3" spans="1:6" x14ac:dyDescent="0.35">
      <c r="B3" s="45" t="s">
        <v>1062</v>
      </c>
      <c r="C3" s="45" t="s">
        <v>1065</v>
      </c>
      <c r="D3" s="45" t="s">
        <v>1066</v>
      </c>
      <c r="E3" s="45" t="s">
        <v>1064</v>
      </c>
    </row>
    <row r="4" spans="1:6" x14ac:dyDescent="0.35">
      <c r="B4" s="7" t="s">
        <v>37</v>
      </c>
      <c r="C4" s="7">
        <v>0.72708543651991897</v>
      </c>
      <c r="D4" s="7">
        <v>-352</v>
      </c>
      <c r="E4" s="7">
        <v>14</v>
      </c>
    </row>
    <row r="5" spans="1:6" x14ac:dyDescent="0.35">
      <c r="B5" s="7" t="s">
        <v>16</v>
      </c>
      <c r="C5" s="7">
        <v>0.78329270078192148</v>
      </c>
      <c r="D5" s="7">
        <v>-510</v>
      </c>
      <c r="E5" s="7">
        <v>21</v>
      </c>
    </row>
    <row r="6" spans="1:6" x14ac:dyDescent="0.35">
      <c r="B6" s="7" t="s">
        <v>20</v>
      </c>
      <c r="C6" s="7">
        <v>0.72305911335725648</v>
      </c>
      <c r="D6" s="7">
        <v>-498</v>
      </c>
      <c r="E6" s="7">
        <v>23</v>
      </c>
    </row>
    <row r="7" spans="1:6" x14ac:dyDescent="0.35">
      <c r="B7" s="7" t="s">
        <v>27</v>
      </c>
      <c r="C7" s="7">
        <v>0.77631217583729828</v>
      </c>
      <c r="D7" s="7">
        <v>-273</v>
      </c>
      <c r="E7" s="7">
        <v>15</v>
      </c>
    </row>
    <row r="8" spans="1:6" x14ac:dyDescent="0.35">
      <c r="B8" s="7" t="s">
        <v>10</v>
      </c>
      <c r="C8" s="7">
        <v>0.74716119587126328</v>
      </c>
      <c r="D8" s="7">
        <v>-595</v>
      </c>
      <c r="E8" s="7">
        <v>28</v>
      </c>
    </row>
    <row r="9" spans="1:6" x14ac:dyDescent="0.35">
      <c r="B9" s="7" t="s">
        <v>48</v>
      </c>
      <c r="C9" s="7">
        <v>0.69369297319812939</v>
      </c>
      <c r="D9" s="7">
        <v>-484</v>
      </c>
      <c r="E9" s="7">
        <v>20</v>
      </c>
    </row>
    <row r="10" spans="1:6" x14ac:dyDescent="0.35">
      <c r="B10" s="45" t="s">
        <v>1063</v>
      </c>
      <c r="C10" s="45">
        <v>0.74130378529614527</v>
      </c>
      <c r="D10" s="45">
        <v>-2712</v>
      </c>
      <c r="E10" s="45">
        <v>121</v>
      </c>
    </row>
    <row r="31" spans="1:5" x14ac:dyDescent="0.35">
      <c r="A31" s="42" t="s">
        <v>1070</v>
      </c>
      <c r="C31" s="39"/>
      <c r="D31" s="39"/>
      <c r="E31" s="39"/>
    </row>
    <row r="32" spans="1:5" x14ac:dyDescent="0.35">
      <c r="B32" s="45" t="s">
        <v>1062</v>
      </c>
      <c r="C32" s="45" t="s">
        <v>1068</v>
      </c>
      <c r="D32" s="45" t="s">
        <v>1069</v>
      </c>
    </row>
    <row r="33" spans="2:4" x14ac:dyDescent="0.35">
      <c r="B33" s="7" t="s">
        <v>42</v>
      </c>
      <c r="C33" s="7">
        <v>22</v>
      </c>
      <c r="D33" s="46">
        <v>6568</v>
      </c>
    </row>
    <row r="34" spans="2:4" x14ac:dyDescent="0.35">
      <c r="B34" s="7" t="s">
        <v>1055</v>
      </c>
      <c r="C34" s="7">
        <v>8</v>
      </c>
      <c r="D34" s="46">
        <v>2375</v>
      </c>
    </row>
    <row r="35" spans="2:4" x14ac:dyDescent="0.35">
      <c r="B35" s="7" t="s">
        <v>1057</v>
      </c>
      <c r="C35" s="7">
        <v>5</v>
      </c>
      <c r="D35" s="46">
        <v>1643</v>
      </c>
    </row>
    <row r="36" spans="2:4" x14ac:dyDescent="0.35">
      <c r="B36" s="7" t="s">
        <v>1053</v>
      </c>
      <c r="C36" s="7">
        <v>4</v>
      </c>
      <c r="D36" s="46">
        <v>1165</v>
      </c>
    </row>
    <row r="37" spans="2:4" x14ac:dyDescent="0.35">
      <c r="B37" s="7" t="s">
        <v>1058</v>
      </c>
      <c r="C37" s="7">
        <v>5</v>
      </c>
      <c r="D37" s="46">
        <v>1385</v>
      </c>
    </row>
    <row r="38" spans="2:4" x14ac:dyDescent="0.35">
      <c r="B38" s="7" t="s">
        <v>33</v>
      </c>
      <c r="C38" s="7">
        <v>18</v>
      </c>
      <c r="D38" s="46">
        <v>4626</v>
      </c>
    </row>
    <row r="39" spans="2:4" x14ac:dyDescent="0.35">
      <c r="B39" s="7" t="s">
        <v>1055</v>
      </c>
      <c r="C39" s="7">
        <v>4</v>
      </c>
      <c r="D39" s="46">
        <v>925</v>
      </c>
    </row>
    <row r="40" spans="2:4" x14ac:dyDescent="0.35">
      <c r="B40" s="7" t="s">
        <v>1057</v>
      </c>
      <c r="C40" s="7">
        <v>6</v>
      </c>
      <c r="D40" s="46">
        <v>2026</v>
      </c>
    </row>
    <row r="41" spans="2:4" x14ac:dyDescent="0.35">
      <c r="B41" s="7" t="s">
        <v>1053</v>
      </c>
      <c r="C41" s="7">
        <v>3</v>
      </c>
      <c r="D41" s="46">
        <v>797</v>
      </c>
    </row>
    <row r="42" spans="2:4" x14ac:dyDescent="0.35">
      <c r="B42" s="7" t="s">
        <v>1058</v>
      </c>
      <c r="C42" s="7">
        <v>5</v>
      </c>
      <c r="D42" s="46">
        <v>878</v>
      </c>
    </row>
    <row r="43" spans="2:4" x14ac:dyDescent="0.35">
      <c r="B43" s="7" t="s">
        <v>23</v>
      </c>
      <c r="C43" s="7">
        <v>19</v>
      </c>
      <c r="D43" s="46">
        <v>5264</v>
      </c>
    </row>
    <row r="44" spans="2:4" x14ac:dyDescent="0.35">
      <c r="B44" s="7" t="s">
        <v>1055</v>
      </c>
      <c r="C44" s="7">
        <v>5</v>
      </c>
      <c r="D44" s="46">
        <v>1267</v>
      </c>
    </row>
    <row r="45" spans="2:4" x14ac:dyDescent="0.35">
      <c r="B45" s="7" t="s">
        <v>1057</v>
      </c>
      <c r="C45" s="7">
        <v>5</v>
      </c>
      <c r="D45" s="46">
        <v>1671</v>
      </c>
    </row>
    <row r="46" spans="2:4" x14ac:dyDescent="0.35">
      <c r="B46" s="7" t="s">
        <v>1053</v>
      </c>
      <c r="C46" s="7">
        <v>4</v>
      </c>
      <c r="D46" s="46">
        <v>1142</v>
      </c>
    </row>
    <row r="47" spans="2:4" x14ac:dyDescent="0.35">
      <c r="B47" s="7" t="s">
        <v>1058</v>
      </c>
      <c r="C47" s="7">
        <v>5</v>
      </c>
      <c r="D47" s="46">
        <v>1184</v>
      </c>
    </row>
    <row r="48" spans="2:4" x14ac:dyDescent="0.35">
      <c r="B48" s="7" t="s">
        <v>18</v>
      </c>
      <c r="C48" s="7">
        <v>16</v>
      </c>
      <c r="D48" s="46">
        <v>3734</v>
      </c>
    </row>
    <row r="49" spans="2:4" x14ac:dyDescent="0.35">
      <c r="B49" s="7" t="s">
        <v>1055</v>
      </c>
      <c r="C49" s="7">
        <v>5</v>
      </c>
      <c r="D49" s="46">
        <v>999</v>
      </c>
    </row>
    <row r="50" spans="2:4" x14ac:dyDescent="0.35">
      <c r="B50" s="7" t="s">
        <v>1057</v>
      </c>
      <c r="C50" s="7">
        <v>2</v>
      </c>
      <c r="D50" s="46">
        <v>536</v>
      </c>
    </row>
    <row r="51" spans="2:4" x14ac:dyDescent="0.35">
      <c r="B51" s="7" t="s">
        <v>1053</v>
      </c>
      <c r="C51" s="7">
        <v>5</v>
      </c>
      <c r="D51" s="46">
        <v>1108</v>
      </c>
    </row>
    <row r="52" spans="2:4" x14ac:dyDescent="0.35">
      <c r="B52" s="7" t="s">
        <v>1058</v>
      </c>
      <c r="C52" s="7">
        <v>4</v>
      </c>
      <c r="D52" s="46">
        <v>1091</v>
      </c>
    </row>
    <row r="53" spans="2:4" x14ac:dyDescent="0.35">
      <c r="B53" s="7" t="s">
        <v>14</v>
      </c>
      <c r="C53" s="7">
        <v>25</v>
      </c>
      <c r="D53" s="46">
        <v>7615</v>
      </c>
    </row>
    <row r="54" spans="2:4" x14ac:dyDescent="0.35">
      <c r="B54" s="7" t="s">
        <v>1055</v>
      </c>
      <c r="C54" s="7">
        <v>8</v>
      </c>
      <c r="D54" s="46">
        <v>2662</v>
      </c>
    </row>
    <row r="55" spans="2:4" x14ac:dyDescent="0.35">
      <c r="B55" s="7" t="s">
        <v>1057</v>
      </c>
      <c r="C55" s="7">
        <v>8</v>
      </c>
      <c r="D55" s="46">
        <v>2781</v>
      </c>
    </row>
    <row r="56" spans="2:4" x14ac:dyDescent="0.35">
      <c r="B56" s="7" t="s">
        <v>1053</v>
      </c>
      <c r="C56" s="7">
        <v>4</v>
      </c>
      <c r="D56" s="46">
        <v>891</v>
      </c>
    </row>
    <row r="57" spans="2:4" x14ac:dyDescent="0.35">
      <c r="B57" s="7" t="s">
        <v>1058</v>
      </c>
      <c r="C57" s="7">
        <v>5</v>
      </c>
      <c r="D57" s="46">
        <v>1281</v>
      </c>
    </row>
    <row r="58" spans="2:4" x14ac:dyDescent="0.35">
      <c r="B58" s="45" t="s">
        <v>1063</v>
      </c>
      <c r="C58" s="45">
        <v>100</v>
      </c>
      <c r="D58" s="47">
        <v>27807</v>
      </c>
    </row>
    <row r="83" spans="1:3" x14ac:dyDescent="0.35">
      <c r="A83" s="44" t="s">
        <v>1072</v>
      </c>
      <c r="C83" s="43"/>
    </row>
    <row r="84" spans="1:3" x14ac:dyDescent="0.35">
      <c r="B84" s="45" t="s">
        <v>1062</v>
      </c>
      <c r="C84" s="45" t="s">
        <v>1071</v>
      </c>
    </row>
    <row r="85" spans="1:3" x14ac:dyDescent="0.35">
      <c r="B85" s="7" t="s">
        <v>563</v>
      </c>
      <c r="C85" s="46">
        <v>144694</v>
      </c>
    </row>
    <row r="86" spans="1:3" x14ac:dyDescent="0.35">
      <c r="B86" s="7" t="s">
        <v>554</v>
      </c>
      <c r="C86" s="46">
        <v>143344</v>
      </c>
    </row>
    <row r="87" spans="1:3" x14ac:dyDescent="0.35">
      <c r="B87" s="7" t="s">
        <v>545</v>
      </c>
      <c r="C87" s="46">
        <v>133941</v>
      </c>
    </row>
    <row r="88" spans="1:3" x14ac:dyDescent="0.35">
      <c r="B88" s="7" t="s">
        <v>556</v>
      </c>
      <c r="C88" s="46">
        <v>115497</v>
      </c>
    </row>
    <row r="89" spans="1:3" x14ac:dyDescent="0.35">
      <c r="B89" s="7" t="s">
        <v>547</v>
      </c>
      <c r="C89" s="46">
        <v>112982</v>
      </c>
    </row>
    <row r="90" spans="1:3" x14ac:dyDescent="0.35">
      <c r="B90" s="45" t="s">
        <v>1063</v>
      </c>
      <c r="C90" s="47">
        <v>650458</v>
      </c>
    </row>
    <row r="113" spans="1:4" x14ac:dyDescent="0.35">
      <c r="A113" s="54" t="s">
        <v>1075</v>
      </c>
      <c r="B113" s="7"/>
      <c r="C113" s="50"/>
      <c r="D113" s="50"/>
    </row>
    <row r="114" spans="1:4" x14ac:dyDescent="0.35">
      <c r="B114" s="45" t="s">
        <v>1062</v>
      </c>
      <c r="C114" s="45" t="s">
        <v>1073</v>
      </c>
      <c r="D114" s="45" t="s">
        <v>1074</v>
      </c>
    </row>
    <row r="115" spans="1:4" x14ac:dyDescent="0.35">
      <c r="B115" s="7" t="s">
        <v>37</v>
      </c>
      <c r="C115" s="7">
        <v>658.25</v>
      </c>
      <c r="D115" s="46">
        <v>161</v>
      </c>
    </row>
    <row r="116" spans="1:4" x14ac:dyDescent="0.35">
      <c r="B116" s="7" t="s">
        <v>16</v>
      </c>
      <c r="C116" s="7">
        <v>771.75</v>
      </c>
      <c r="D116" s="46">
        <v>167.75</v>
      </c>
    </row>
    <row r="117" spans="1:4" x14ac:dyDescent="0.35">
      <c r="B117" s="7" t="s">
        <v>20</v>
      </c>
      <c r="C117" s="7">
        <v>888.75</v>
      </c>
      <c r="D117" s="46">
        <v>160.75</v>
      </c>
    </row>
    <row r="118" spans="1:4" x14ac:dyDescent="0.35">
      <c r="B118" s="7" t="s">
        <v>27</v>
      </c>
      <c r="C118" s="7">
        <v>657.5</v>
      </c>
      <c r="D118" s="46">
        <v>233.5</v>
      </c>
    </row>
    <row r="119" spans="1:4" x14ac:dyDescent="0.35">
      <c r="B119" s="7" t="s">
        <v>10</v>
      </c>
      <c r="C119" s="7">
        <v>744.25</v>
      </c>
      <c r="D119" s="46">
        <v>208.25</v>
      </c>
    </row>
    <row r="120" spans="1:4" x14ac:dyDescent="0.35">
      <c r="B120" s="7" t="s">
        <v>48</v>
      </c>
      <c r="C120" s="7">
        <v>793.75</v>
      </c>
      <c r="D120" s="46">
        <v>211.25</v>
      </c>
    </row>
    <row r="121" spans="1:4" x14ac:dyDescent="0.35">
      <c r="B121" s="45" t="s">
        <v>1063</v>
      </c>
      <c r="C121" s="45">
        <v>752.375</v>
      </c>
      <c r="D121" s="47">
        <v>190.41666666666666</v>
      </c>
    </row>
    <row r="143" spans="1:7" x14ac:dyDescent="0.35">
      <c r="A143" s="54" t="s">
        <v>1080</v>
      </c>
      <c r="B143" s="39"/>
      <c r="C143" s="39"/>
      <c r="D143" s="39"/>
      <c r="E143" s="39"/>
      <c r="F143" s="39"/>
    </row>
    <row r="144" spans="1:7" x14ac:dyDescent="0.35">
      <c r="B144" s="45" t="s">
        <v>1079</v>
      </c>
      <c r="C144" s="45" t="s">
        <v>1076</v>
      </c>
      <c r="D144" s="45"/>
      <c r="E144" s="45"/>
      <c r="F144" s="45"/>
      <c r="G144" s="45"/>
    </row>
    <row r="145" spans="2:7" x14ac:dyDescent="0.35">
      <c r="B145" s="45" t="s">
        <v>1062</v>
      </c>
      <c r="C145" s="45" t="s">
        <v>25</v>
      </c>
      <c r="D145" s="45" t="s">
        <v>32</v>
      </c>
      <c r="E145" s="45" t="s">
        <v>17</v>
      </c>
      <c r="F145" s="45" t="s">
        <v>11</v>
      </c>
      <c r="G145" s="45" t="s">
        <v>1063</v>
      </c>
    </row>
    <row r="146" spans="2:7" x14ac:dyDescent="0.35">
      <c r="B146" s="7" t="s">
        <v>531</v>
      </c>
      <c r="C146" s="48">
        <v>7961.0392601260082</v>
      </c>
      <c r="D146" s="48">
        <v>6396.4543444625542</v>
      </c>
      <c r="E146" s="48">
        <v>9401.4417919610769</v>
      </c>
      <c r="F146" s="48">
        <v>5594.8298132611644</v>
      </c>
      <c r="G146" s="48">
        <v>29353.765209810805</v>
      </c>
    </row>
    <row r="147" spans="2:7" x14ac:dyDescent="0.35">
      <c r="B147" s="7" t="s">
        <v>533</v>
      </c>
      <c r="C147" s="48">
        <v>5065.400353539253</v>
      </c>
      <c r="D147" s="48">
        <v>4253.1059265826107</v>
      </c>
      <c r="E147" s="48">
        <v>8277.1147156867246</v>
      </c>
      <c r="F147" s="48">
        <v>4669.4369865381741</v>
      </c>
      <c r="G147" s="48">
        <v>22265.057982346763</v>
      </c>
    </row>
    <row r="148" spans="2:7" x14ac:dyDescent="0.35">
      <c r="B148" s="7" t="s">
        <v>534</v>
      </c>
      <c r="C148" s="48">
        <v>6761.794194983635</v>
      </c>
      <c r="D148" s="48">
        <v>2549.9256703811907</v>
      </c>
      <c r="E148" s="48">
        <v>1979.1188891826976</v>
      </c>
      <c r="F148" s="48">
        <v>6817.8487958004725</v>
      </c>
      <c r="G148" s="48">
        <v>18108.687550347997</v>
      </c>
    </row>
    <row r="149" spans="2:7" x14ac:dyDescent="0.35">
      <c r="B149" s="7" t="s">
        <v>532</v>
      </c>
      <c r="C149" s="48">
        <v>3749.4680564586097</v>
      </c>
      <c r="D149" s="48">
        <v>5761.065863138876</v>
      </c>
      <c r="E149" s="48">
        <v>6413.8821853619656</v>
      </c>
      <c r="F149" s="48">
        <v>3502.9022111748154</v>
      </c>
      <c r="G149" s="48">
        <v>19427.318316134268</v>
      </c>
    </row>
    <row r="150" spans="2:7" x14ac:dyDescent="0.35">
      <c r="B150" s="45" t="s">
        <v>1063</v>
      </c>
      <c r="C150" s="49">
        <v>23537.701865107505</v>
      </c>
      <c r="D150" s="49">
        <v>18960.551804565232</v>
      </c>
      <c r="E150" s="49">
        <v>26071.557582192465</v>
      </c>
      <c r="F150" s="49">
        <v>20585.017806774627</v>
      </c>
      <c r="G150" s="49">
        <v>89154.829058639822</v>
      </c>
    </row>
    <row r="171" spans="1:5" x14ac:dyDescent="0.35">
      <c r="A171" s="54" t="s">
        <v>1084</v>
      </c>
      <c r="C171" s="39"/>
      <c r="D171" s="39"/>
      <c r="E171" s="39"/>
    </row>
    <row r="172" spans="1:5" x14ac:dyDescent="0.35">
      <c r="B172" s="45" t="s">
        <v>1062</v>
      </c>
      <c r="C172" s="45" t="s">
        <v>1079</v>
      </c>
      <c r="D172" s="45" t="s">
        <v>1082</v>
      </c>
    </row>
    <row r="173" spans="1:5" x14ac:dyDescent="0.35">
      <c r="B173" s="7" t="s">
        <v>42</v>
      </c>
      <c r="C173" s="48">
        <v>16717.941675902526</v>
      </c>
      <c r="D173" s="48">
        <v>23475</v>
      </c>
    </row>
    <row r="174" spans="1:5" x14ac:dyDescent="0.35">
      <c r="B174" s="7" t="s">
        <v>33</v>
      </c>
      <c r="C174" s="48">
        <v>17209.982090884736</v>
      </c>
      <c r="D174" s="48">
        <v>22209</v>
      </c>
    </row>
    <row r="175" spans="1:5" x14ac:dyDescent="0.35">
      <c r="B175" s="7" t="s">
        <v>23</v>
      </c>
      <c r="C175" s="48">
        <v>15664.928608815799</v>
      </c>
      <c r="D175" s="48">
        <v>21216</v>
      </c>
    </row>
    <row r="176" spans="1:5" x14ac:dyDescent="0.35">
      <c r="B176" s="7" t="s">
        <v>18</v>
      </c>
      <c r="C176" s="48">
        <v>12905.508624558806</v>
      </c>
      <c r="D176" s="48">
        <v>18622</v>
      </c>
    </row>
    <row r="177" spans="2:4" x14ac:dyDescent="0.35">
      <c r="B177" s="7" t="s">
        <v>14</v>
      </c>
      <c r="C177" s="48">
        <v>26656.468058477949</v>
      </c>
      <c r="D177" s="48">
        <v>35026</v>
      </c>
    </row>
    <row r="178" spans="2:4" x14ac:dyDescent="0.35">
      <c r="B178" s="45" t="s">
        <v>1063</v>
      </c>
      <c r="C178" s="49">
        <v>89154.829058639822</v>
      </c>
      <c r="D178" s="49">
        <v>120548</v>
      </c>
    </row>
    <row r="201" spans="1:16" x14ac:dyDescent="0.35">
      <c r="A201" s="54" t="s">
        <v>1091</v>
      </c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7"/>
    </row>
    <row r="202" spans="1:16" x14ac:dyDescent="0.35">
      <c r="B202" s="45"/>
      <c r="C202" s="45" t="s">
        <v>1076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55"/>
      <c r="P202" s="55"/>
    </row>
    <row r="203" spans="1:16" x14ac:dyDescent="0.35">
      <c r="B203" s="45"/>
      <c r="C203" s="45" t="s">
        <v>12</v>
      </c>
      <c r="D203" s="45"/>
      <c r="E203" s="45"/>
      <c r="F203" s="45" t="s">
        <v>21</v>
      </c>
      <c r="G203" s="45"/>
      <c r="H203" s="45"/>
      <c r="I203" s="45" t="s">
        <v>51</v>
      </c>
      <c r="J203" s="45"/>
      <c r="K203" s="45"/>
      <c r="L203" s="45" t="s">
        <v>1085</v>
      </c>
      <c r="M203" s="45" t="s">
        <v>1089</v>
      </c>
      <c r="N203" s="45" t="s">
        <v>1087</v>
      </c>
      <c r="O203" s="55"/>
      <c r="P203" s="55"/>
    </row>
    <row r="204" spans="1:16" x14ac:dyDescent="0.35">
      <c r="B204" s="45" t="s">
        <v>1062</v>
      </c>
      <c r="C204" s="45" t="s">
        <v>1068</v>
      </c>
      <c r="D204" s="45" t="s">
        <v>1090</v>
      </c>
      <c r="E204" s="45" t="s">
        <v>1088</v>
      </c>
      <c r="F204" s="45" t="s">
        <v>1068</v>
      </c>
      <c r="G204" s="45" t="s">
        <v>1090</v>
      </c>
      <c r="H204" s="45" t="s">
        <v>1088</v>
      </c>
      <c r="I204" s="45" t="s">
        <v>1068</v>
      </c>
      <c r="J204" s="45" t="s">
        <v>1090</v>
      </c>
      <c r="K204" s="45" t="s">
        <v>1088</v>
      </c>
      <c r="L204" s="45"/>
      <c r="M204" s="45"/>
      <c r="N204" s="45"/>
      <c r="O204" s="55"/>
    </row>
    <row r="205" spans="1:16" x14ac:dyDescent="0.35">
      <c r="B205" s="7" t="s">
        <v>25</v>
      </c>
      <c r="C205" s="7">
        <v>84</v>
      </c>
      <c r="D205" s="7">
        <v>1045.9047619047619</v>
      </c>
      <c r="E205" s="7">
        <v>87856</v>
      </c>
      <c r="F205" s="7">
        <v>18</v>
      </c>
      <c r="G205" s="7">
        <v>939.16666666666663</v>
      </c>
      <c r="H205" s="7">
        <v>16905</v>
      </c>
      <c r="I205" s="7">
        <v>14</v>
      </c>
      <c r="J205" s="7">
        <v>774.14285714285711</v>
      </c>
      <c r="K205" s="7">
        <v>10838</v>
      </c>
      <c r="L205" s="7">
        <v>116</v>
      </c>
      <c r="M205" s="7">
        <v>996.54310344827582</v>
      </c>
      <c r="N205" s="7">
        <v>115599</v>
      </c>
    </row>
    <row r="206" spans="1:16" x14ac:dyDescent="0.35">
      <c r="B206" s="7" t="s">
        <v>32</v>
      </c>
      <c r="C206" s="7">
        <v>92</v>
      </c>
      <c r="D206" s="7">
        <v>1138.945652173913</v>
      </c>
      <c r="E206" s="7">
        <v>104783</v>
      </c>
      <c r="F206" s="7">
        <v>15</v>
      </c>
      <c r="G206" s="7">
        <v>1025.5999999999999</v>
      </c>
      <c r="H206" s="7">
        <v>15384</v>
      </c>
      <c r="I206" s="7">
        <v>10</v>
      </c>
      <c r="J206" s="7">
        <v>1233.7</v>
      </c>
      <c r="K206" s="7">
        <v>12337</v>
      </c>
      <c r="L206" s="7">
        <v>117</v>
      </c>
      <c r="M206" s="7">
        <v>1132.5128205128206</v>
      </c>
      <c r="N206" s="7">
        <v>132504</v>
      </c>
    </row>
    <row r="207" spans="1:16" x14ac:dyDescent="0.35">
      <c r="B207" s="7" t="s">
        <v>17</v>
      </c>
      <c r="C207" s="7">
        <v>80</v>
      </c>
      <c r="D207" s="7">
        <v>1097.8</v>
      </c>
      <c r="E207" s="7">
        <v>87824</v>
      </c>
      <c r="F207" s="7">
        <v>28</v>
      </c>
      <c r="G207" s="7">
        <v>1218.8928571428571</v>
      </c>
      <c r="H207" s="7">
        <v>34129</v>
      </c>
      <c r="I207" s="7">
        <v>11</v>
      </c>
      <c r="J207" s="7">
        <v>1128.4545454545455</v>
      </c>
      <c r="K207" s="7">
        <v>12413</v>
      </c>
      <c r="L207" s="7">
        <v>119</v>
      </c>
      <c r="M207" s="7">
        <v>1129.126050420168</v>
      </c>
      <c r="N207" s="7">
        <v>134366</v>
      </c>
    </row>
    <row r="208" spans="1:16" x14ac:dyDescent="0.35">
      <c r="B208" s="7" t="s">
        <v>11</v>
      </c>
      <c r="C208" s="7">
        <v>106</v>
      </c>
      <c r="D208" s="7">
        <v>1056.2735849056603</v>
      </c>
      <c r="E208" s="7">
        <v>111965</v>
      </c>
      <c r="F208" s="7">
        <v>30</v>
      </c>
      <c r="G208" s="7">
        <v>1007.5666666666667</v>
      </c>
      <c r="H208" s="7">
        <v>30227</v>
      </c>
      <c r="I208" s="7">
        <v>12</v>
      </c>
      <c r="J208" s="7">
        <v>929.91666666666663</v>
      </c>
      <c r="K208" s="7">
        <v>11159</v>
      </c>
      <c r="L208" s="7">
        <v>148</v>
      </c>
      <c r="M208" s="7">
        <v>1036.1554054054054</v>
      </c>
      <c r="N208" s="7">
        <v>153351</v>
      </c>
    </row>
    <row r="209" spans="2:15" x14ac:dyDescent="0.35">
      <c r="B209" s="45" t="s">
        <v>1063</v>
      </c>
      <c r="C209" s="45">
        <v>362</v>
      </c>
      <c r="D209" s="45">
        <v>1084.0552486187846</v>
      </c>
      <c r="E209" s="45">
        <v>392428</v>
      </c>
      <c r="F209" s="45">
        <v>91</v>
      </c>
      <c r="G209" s="45">
        <v>1062.032967032967</v>
      </c>
      <c r="H209" s="45">
        <v>96645</v>
      </c>
      <c r="I209" s="45">
        <v>47</v>
      </c>
      <c r="J209" s="45">
        <v>994.61702127659578</v>
      </c>
      <c r="K209" s="45">
        <v>46747</v>
      </c>
      <c r="L209" s="45">
        <v>500</v>
      </c>
      <c r="M209" s="45">
        <v>1071.6400000000001</v>
      </c>
      <c r="N209" s="45">
        <v>535820</v>
      </c>
      <c r="O209" s="55"/>
    </row>
    <row r="231" spans="1:5" x14ac:dyDescent="0.35">
      <c r="A231" s="44" t="s">
        <v>1098</v>
      </c>
      <c r="C231" s="43"/>
      <c r="D231" s="43"/>
      <c r="E231" s="43"/>
    </row>
    <row r="232" spans="1:5" x14ac:dyDescent="0.35">
      <c r="B232" s="45" t="s">
        <v>1062</v>
      </c>
      <c r="C232" s="45" t="s">
        <v>1097</v>
      </c>
      <c r="D232" s="45" t="s">
        <v>1082</v>
      </c>
      <c r="E232" s="45" t="s">
        <v>1068</v>
      </c>
    </row>
    <row r="233" spans="1:5" x14ac:dyDescent="0.35">
      <c r="B233" s="7" t="s">
        <v>1092</v>
      </c>
      <c r="C233" s="46">
        <v>32742</v>
      </c>
      <c r="D233" s="46">
        <v>144268</v>
      </c>
      <c r="E233" s="7">
        <v>139</v>
      </c>
    </row>
    <row r="234" spans="1:5" x14ac:dyDescent="0.35">
      <c r="B234" s="7" t="s">
        <v>1093</v>
      </c>
      <c r="C234" s="46">
        <v>24621</v>
      </c>
      <c r="D234" s="46">
        <v>111330</v>
      </c>
      <c r="E234" s="7">
        <v>102</v>
      </c>
    </row>
    <row r="235" spans="1:5" x14ac:dyDescent="0.35">
      <c r="B235" s="7" t="s">
        <v>1094</v>
      </c>
      <c r="C235" s="46">
        <v>27579</v>
      </c>
      <c r="D235" s="46">
        <v>132648</v>
      </c>
      <c r="E235" s="7">
        <v>118</v>
      </c>
    </row>
    <row r="236" spans="1:5" x14ac:dyDescent="0.35">
      <c r="B236" s="7" t="s">
        <v>1095</v>
      </c>
      <c r="C236" s="46">
        <v>29471</v>
      </c>
      <c r="D236" s="46">
        <v>142002</v>
      </c>
      <c r="E236" s="7">
        <v>136</v>
      </c>
    </row>
    <row r="237" spans="1:5" x14ac:dyDescent="0.35">
      <c r="B237" s="7" t="s">
        <v>1096</v>
      </c>
      <c r="C237" s="46">
        <v>727</v>
      </c>
      <c r="D237" s="46">
        <v>5572</v>
      </c>
      <c r="E237" s="7">
        <v>5</v>
      </c>
    </row>
    <row r="238" spans="1:5" x14ac:dyDescent="0.35">
      <c r="B238" s="45" t="s">
        <v>1063</v>
      </c>
      <c r="C238" s="47">
        <v>115140</v>
      </c>
      <c r="D238" s="47">
        <v>535820</v>
      </c>
      <c r="E238" s="45">
        <v>500</v>
      </c>
    </row>
    <row r="259" spans="1:6" x14ac:dyDescent="0.35">
      <c r="A259" s="54" t="s">
        <v>1102</v>
      </c>
      <c r="C259" s="39"/>
      <c r="D259" s="39"/>
      <c r="E259" s="39"/>
      <c r="F259" s="39"/>
    </row>
    <row r="260" spans="1:6" x14ac:dyDescent="0.35">
      <c r="B260" s="45" t="s">
        <v>1062</v>
      </c>
      <c r="C260" s="45" t="s">
        <v>1100</v>
      </c>
      <c r="D260" s="45" t="s">
        <v>1099</v>
      </c>
      <c r="E260" s="45" t="s">
        <v>1068</v>
      </c>
      <c r="F260" s="45" t="s">
        <v>1101</v>
      </c>
    </row>
    <row r="261" spans="1:6" x14ac:dyDescent="0.35">
      <c r="B261" s="7" t="s">
        <v>42</v>
      </c>
      <c r="C261" s="46">
        <v>1092.4680851063829</v>
      </c>
      <c r="D261" s="46">
        <v>102692</v>
      </c>
      <c r="E261" s="46">
        <v>94</v>
      </c>
      <c r="F261" s="46">
        <v>1947</v>
      </c>
    </row>
    <row r="262" spans="1:6" x14ac:dyDescent="0.35">
      <c r="B262" s="7" t="s">
        <v>33</v>
      </c>
      <c r="C262" s="46">
        <v>1059.7128712871288</v>
      </c>
      <c r="D262" s="46">
        <v>107031</v>
      </c>
      <c r="E262" s="46">
        <v>101</v>
      </c>
      <c r="F262" s="46">
        <v>1985</v>
      </c>
    </row>
    <row r="263" spans="1:6" x14ac:dyDescent="0.35">
      <c r="B263" s="7" t="s">
        <v>23</v>
      </c>
      <c r="C263" s="46">
        <v>967.8089887640449</v>
      </c>
      <c r="D263" s="46">
        <v>86135</v>
      </c>
      <c r="E263" s="46">
        <v>89</v>
      </c>
      <c r="F263" s="46">
        <v>1973</v>
      </c>
    </row>
    <row r="264" spans="1:6" x14ac:dyDescent="0.35">
      <c r="B264" s="7" t="s">
        <v>18</v>
      </c>
      <c r="C264" s="46">
        <v>1155.2407407407406</v>
      </c>
      <c r="D264" s="46">
        <v>124766</v>
      </c>
      <c r="E264" s="46">
        <v>108</v>
      </c>
      <c r="F264" s="46">
        <v>1990</v>
      </c>
    </row>
    <row r="265" spans="1:6" x14ac:dyDescent="0.35">
      <c r="B265" s="7" t="s">
        <v>14</v>
      </c>
      <c r="C265" s="46">
        <v>1066.6296296296296</v>
      </c>
      <c r="D265" s="46">
        <v>115196</v>
      </c>
      <c r="E265" s="46">
        <v>108</v>
      </c>
      <c r="F265" s="46">
        <v>1946</v>
      </c>
    </row>
    <row r="266" spans="1:6" x14ac:dyDescent="0.35">
      <c r="B266" s="45" t="s">
        <v>1063</v>
      </c>
      <c r="C266" s="47">
        <v>1071.6400000000001</v>
      </c>
      <c r="D266" s="47">
        <v>535820</v>
      </c>
      <c r="E266" s="47">
        <v>500</v>
      </c>
      <c r="F266" s="47">
        <v>1990</v>
      </c>
    </row>
  </sheetData>
  <mergeCells count="1">
    <mergeCell ref="A1:E1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9670-F958-4C65-98AE-277FFFF6C9F4}">
  <dimension ref="A1:O503"/>
  <sheetViews>
    <sheetView topLeftCell="A124" zoomScale="60" zoomScaleNormal="60" workbookViewId="0">
      <selection activeCell="A125" sqref="A125:D149"/>
    </sheetView>
  </sheetViews>
  <sheetFormatPr defaultRowHeight="14.5" x14ac:dyDescent="0.35"/>
  <cols>
    <col min="1" max="1" width="12.36328125" bestFit="1" customWidth="1"/>
    <col min="2" max="2" width="26.36328125" bestFit="1" customWidth="1"/>
    <col min="3" max="3" width="28.36328125" bestFit="1" customWidth="1"/>
    <col min="4" max="4" width="28.1796875" bestFit="1" customWidth="1"/>
    <col min="5" max="5" width="13.6328125" bestFit="1" customWidth="1"/>
    <col min="6" max="6" width="7.81640625" bestFit="1" customWidth="1"/>
    <col min="7" max="7" width="10.54296875" bestFit="1" customWidth="1"/>
    <col min="8" max="8" width="12.26953125" bestFit="1" customWidth="1"/>
    <col min="9" max="9" width="10.453125" bestFit="1" customWidth="1"/>
    <col min="10" max="10" width="16" bestFit="1" customWidth="1"/>
    <col min="11" max="11" width="13.08984375" bestFit="1" customWidth="1"/>
    <col min="12" max="12" width="16.1796875" bestFit="1" customWidth="1"/>
    <col min="13" max="13" width="26.1796875" customWidth="1"/>
    <col min="14" max="14" width="8.7265625" style="3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528</v>
      </c>
      <c r="K1" t="s">
        <v>529</v>
      </c>
      <c r="L1" t="s">
        <v>530</v>
      </c>
      <c r="M1" t="s">
        <v>1059</v>
      </c>
      <c r="N1" s="3" t="s">
        <v>1060</v>
      </c>
      <c r="O1" t="s">
        <v>1061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12</v>
      </c>
      <c r="E2">
        <v>1416</v>
      </c>
      <c r="F2">
        <v>51</v>
      </c>
      <c r="G2" s="1" t="s">
        <v>13</v>
      </c>
      <c r="H2" s="1" t="s">
        <v>18</v>
      </c>
      <c r="I2" s="2">
        <v>45670</v>
      </c>
      <c r="J2">
        <v>1381.1470770737874</v>
      </c>
      <c r="K2" s="2">
        <v>45697</v>
      </c>
      <c r="L2" s="1" t="s">
        <v>531</v>
      </c>
      <c r="M2">
        <f>Refund_Compliance[[#This Row],[SaleDate]]-Refund_Compliance[[#This Row],[RefundDate]]</f>
        <v>-27</v>
      </c>
      <c r="N2" s="3">
        <f>Refund_Compliance[[#This Row],[RefundAmount]]/Refund_Compliance[[#This Row],[FareCharged]]</f>
        <v>0.97538635386566908</v>
      </c>
      <c r="O2" t="str">
        <f>IF(Refund_Compliance[[#This Row],[Refund Turnaround Days]]&gt;-14,"SLA Breach","OK")</f>
        <v>OK</v>
      </c>
    </row>
    <row r="3" spans="1:15" x14ac:dyDescent="0.35">
      <c r="A3" s="1" t="s">
        <v>19</v>
      </c>
      <c r="B3" s="1" t="s">
        <v>20</v>
      </c>
      <c r="C3" s="1" t="s">
        <v>17</v>
      </c>
      <c r="D3" s="1" t="s">
        <v>21</v>
      </c>
      <c r="E3">
        <v>1666</v>
      </c>
      <c r="F3">
        <v>342</v>
      </c>
      <c r="G3" s="1" t="s">
        <v>13</v>
      </c>
      <c r="H3" s="1" t="s">
        <v>14</v>
      </c>
      <c r="I3" s="2">
        <v>45730</v>
      </c>
      <c r="J3">
        <v>1418.2162377784941</v>
      </c>
      <c r="K3" s="2">
        <v>45754</v>
      </c>
      <c r="L3" s="1" t="s">
        <v>531</v>
      </c>
      <c r="M3">
        <f>Refund_Compliance[[#This Row],[SaleDate]]-Refund_Compliance[[#This Row],[RefundDate]]</f>
        <v>-24</v>
      </c>
      <c r="N3" s="3">
        <f>Refund_Compliance[[#This Row],[RefundAmount]]/Refund_Compliance[[#This Row],[FareCharged]]</f>
        <v>0.85127025076740348</v>
      </c>
      <c r="O3" t="str">
        <f>IF(Refund_Compliance[[#This Row],[Refund Turnaround Days]]&gt;-14,"SLA Breach","OK")</f>
        <v>OK</v>
      </c>
    </row>
    <row r="4" spans="1:15" x14ac:dyDescent="0.35">
      <c r="A4" s="1" t="s">
        <v>29</v>
      </c>
      <c r="B4" s="1" t="s">
        <v>20</v>
      </c>
      <c r="C4" s="1" t="s">
        <v>17</v>
      </c>
      <c r="D4" s="1" t="s">
        <v>12</v>
      </c>
      <c r="E4">
        <v>974</v>
      </c>
      <c r="F4">
        <v>160</v>
      </c>
      <c r="G4" s="1" t="s">
        <v>13</v>
      </c>
      <c r="H4" s="1" t="s">
        <v>14</v>
      </c>
      <c r="I4" s="2">
        <v>45770</v>
      </c>
      <c r="J4">
        <v>632.1514256074089</v>
      </c>
      <c r="K4" s="2">
        <v>45791</v>
      </c>
      <c r="L4" s="1" t="s">
        <v>532</v>
      </c>
      <c r="M4">
        <f>Refund_Compliance[[#This Row],[SaleDate]]-Refund_Compliance[[#This Row],[RefundDate]]</f>
        <v>-21</v>
      </c>
      <c r="N4" s="3">
        <f>Refund_Compliance[[#This Row],[RefundAmount]]/Refund_Compliance[[#This Row],[FareCharged]]</f>
        <v>0.64902610431972163</v>
      </c>
      <c r="O4" t="str">
        <f>IF(Refund_Compliance[[#This Row],[Refund Turnaround Days]]&gt;-14,"SLA Breach","OK")</f>
        <v>OK</v>
      </c>
    </row>
    <row r="5" spans="1:15" x14ac:dyDescent="0.35">
      <c r="A5" s="1" t="s">
        <v>35</v>
      </c>
      <c r="B5" s="1" t="s">
        <v>20</v>
      </c>
      <c r="C5" s="1" t="s">
        <v>32</v>
      </c>
      <c r="D5" s="1" t="s">
        <v>12</v>
      </c>
      <c r="E5">
        <v>655</v>
      </c>
      <c r="F5">
        <v>179</v>
      </c>
      <c r="G5" s="1" t="s">
        <v>13</v>
      </c>
      <c r="H5" s="1" t="s">
        <v>14</v>
      </c>
      <c r="I5" s="2">
        <v>45713</v>
      </c>
      <c r="J5">
        <v>362.00701203715545</v>
      </c>
      <c r="K5" s="2">
        <v>45716</v>
      </c>
      <c r="L5" s="1" t="s">
        <v>531</v>
      </c>
      <c r="M5">
        <f>Refund_Compliance[[#This Row],[SaleDate]]-Refund_Compliance[[#This Row],[RefundDate]]</f>
        <v>-3</v>
      </c>
      <c r="N5" s="3">
        <f>Refund_Compliance[[#This Row],[RefundAmount]]/Refund_Compliance[[#This Row],[FareCharged]]</f>
        <v>0.55268246112542818</v>
      </c>
      <c r="O5" t="str">
        <f>IF(Refund_Compliance[[#This Row],[Refund Turnaround Days]]&gt;-14,"SLA Breach","OK")</f>
        <v>SLA Breach</v>
      </c>
    </row>
    <row r="6" spans="1:15" x14ac:dyDescent="0.35">
      <c r="A6" s="1" t="s">
        <v>40</v>
      </c>
      <c r="B6" s="1" t="s">
        <v>10</v>
      </c>
      <c r="C6" s="1" t="s">
        <v>25</v>
      </c>
      <c r="D6" s="1" t="s">
        <v>12</v>
      </c>
      <c r="E6">
        <v>1946</v>
      </c>
      <c r="F6">
        <v>394</v>
      </c>
      <c r="G6" s="1" t="s">
        <v>13</v>
      </c>
      <c r="H6" s="1" t="s">
        <v>14</v>
      </c>
      <c r="I6" s="2">
        <v>45772</v>
      </c>
      <c r="J6">
        <v>1733.7146190346225</v>
      </c>
      <c r="K6" s="2">
        <v>45796</v>
      </c>
      <c r="L6" s="1" t="s">
        <v>532</v>
      </c>
      <c r="M6">
        <f>Refund_Compliance[[#This Row],[SaleDate]]-Refund_Compliance[[#This Row],[RefundDate]]</f>
        <v>-24</v>
      </c>
      <c r="N6" s="3">
        <f>Refund_Compliance[[#This Row],[RefundAmount]]/Refund_Compliance[[#This Row],[FareCharged]]</f>
        <v>0.89091193167246785</v>
      </c>
      <c r="O6" t="str">
        <f>IF(Refund_Compliance[[#This Row],[Refund Turnaround Days]]&gt;-14,"SLA Breach","OK")</f>
        <v>OK</v>
      </c>
    </row>
    <row r="7" spans="1:15" x14ac:dyDescent="0.35">
      <c r="A7" s="1" t="s">
        <v>53</v>
      </c>
      <c r="B7" s="1" t="s">
        <v>16</v>
      </c>
      <c r="C7" s="1" t="s">
        <v>32</v>
      </c>
      <c r="D7" s="1" t="s">
        <v>12</v>
      </c>
      <c r="E7">
        <v>1663</v>
      </c>
      <c r="F7">
        <v>59</v>
      </c>
      <c r="G7" s="1" t="s">
        <v>13</v>
      </c>
      <c r="H7" s="1" t="s">
        <v>14</v>
      </c>
      <c r="I7" s="2">
        <v>45745</v>
      </c>
      <c r="J7">
        <v>1367.1100776572241</v>
      </c>
      <c r="K7" s="2">
        <v>45763</v>
      </c>
      <c r="L7" s="1" t="s">
        <v>533</v>
      </c>
      <c r="M7">
        <f>Refund_Compliance[[#This Row],[SaleDate]]-Refund_Compliance[[#This Row],[RefundDate]]</f>
        <v>-18</v>
      </c>
      <c r="N7" s="3">
        <f>Refund_Compliance[[#This Row],[RefundAmount]]/Refund_Compliance[[#This Row],[FareCharged]]</f>
        <v>0.82207461073795796</v>
      </c>
      <c r="O7" t="str">
        <f>IF(Refund_Compliance[[#This Row],[Refund Turnaround Days]]&gt;-14,"SLA Breach","OK")</f>
        <v>OK</v>
      </c>
    </row>
    <row r="8" spans="1:15" x14ac:dyDescent="0.35">
      <c r="A8" s="1" t="s">
        <v>55</v>
      </c>
      <c r="B8" s="1" t="s">
        <v>48</v>
      </c>
      <c r="C8" s="1" t="s">
        <v>17</v>
      </c>
      <c r="D8" s="1" t="s">
        <v>21</v>
      </c>
      <c r="E8">
        <v>839</v>
      </c>
      <c r="F8">
        <v>167</v>
      </c>
      <c r="G8" s="1" t="s">
        <v>13</v>
      </c>
      <c r="H8" s="1" t="s">
        <v>18</v>
      </c>
      <c r="I8" s="2">
        <v>45694</v>
      </c>
      <c r="J8">
        <v>439.71403219898775</v>
      </c>
      <c r="K8" s="2">
        <v>45729</v>
      </c>
      <c r="L8" s="1" t="s">
        <v>533</v>
      </c>
      <c r="M8">
        <f>Refund_Compliance[[#This Row],[SaleDate]]-Refund_Compliance[[#This Row],[RefundDate]]</f>
        <v>-35</v>
      </c>
      <c r="N8" s="3">
        <f>Refund_Compliance[[#This Row],[RefundAmount]]/Refund_Compliance[[#This Row],[FareCharged]]</f>
        <v>0.52409300619664811</v>
      </c>
      <c r="O8" t="str">
        <f>IF(Refund_Compliance[[#This Row],[Refund Turnaround Days]]&gt;-14,"SLA Breach","OK")</f>
        <v>OK</v>
      </c>
    </row>
    <row r="9" spans="1:15" x14ac:dyDescent="0.35">
      <c r="A9" s="1" t="s">
        <v>63</v>
      </c>
      <c r="B9" s="1" t="s">
        <v>37</v>
      </c>
      <c r="C9" s="1" t="s">
        <v>32</v>
      </c>
      <c r="D9" s="1" t="s">
        <v>21</v>
      </c>
      <c r="E9">
        <v>930</v>
      </c>
      <c r="F9">
        <v>182</v>
      </c>
      <c r="G9" s="1" t="s">
        <v>13</v>
      </c>
      <c r="H9" s="1" t="s">
        <v>14</v>
      </c>
      <c r="I9" s="2">
        <v>45750</v>
      </c>
      <c r="J9">
        <v>632.42346664395495</v>
      </c>
      <c r="K9" s="2">
        <v>45759</v>
      </c>
      <c r="L9" s="1" t="s">
        <v>532</v>
      </c>
      <c r="M9">
        <f>Refund_Compliance[[#This Row],[SaleDate]]-Refund_Compliance[[#This Row],[RefundDate]]</f>
        <v>-9</v>
      </c>
      <c r="N9" s="3">
        <f>Refund_Compliance[[#This Row],[RefundAmount]]/Refund_Compliance[[#This Row],[FareCharged]]</f>
        <v>0.68002523295048922</v>
      </c>
      <c r="O9" t="str">
        <f>IF(Refund_Compliance[[#This Row],[Refund Turnaround Days]]&gt;-14,"SLA Breach","OK")</f>
        <v>SLA Breach</v>
      </c>
    </row>
    <row r="10" spans="1:15" x14ac:dyDescent="0.35">
      <c r="A10" s="1" t="s">
        <v>65</v>
      </c>
      <c r="B10" s="1" t="s">
        <v>20</v>
      </c>
      <c r="C10" s="1" t="s">
        <v>25</v>
      </c>
      <c r="D10" s="1" t="s">
        <v>12</v>
      </c>
      <c r="E10">
        <v>1042</v>
      </c>
      <c r="F10">
        <v>313</v>
      </c>
      <c r="G10" s="1" t="s">
        <v>13</v>
      </c>
      <c r="H10" s="1" t="s">
        <v>18</v>
      </c>
      <c r="I10" s="2">
        <v>45735</v>
      </c>
      <c r="J10">
        <v>1019.492703867313</v>
      </c>
      <c r="K10" s="2">
        <v>45758</v>
      </c>
      <c r="L10" s="1" t="s">
        <v>534</v>
      </c>
      <c r="M10">
        <f>Refund_Compliance[[#This Row],[SaleDate]]-Refund_Compliance[[#This Row],[RefundDate]]</f>
        <v>-23</v>
      </c>
      <c r="N10" s="3">
        <f>Refund_Compliance[[#This Row],[RefundAmount]]/Refund_Compliance[[#This Row],[FareCharged]]</f>
        <v>0.97839990774214303</v>
      </c>
      <c r="O10" t="str">
        <f>IF(Refund_Compliance[[#This Row],[Refund Turnaround Days]]&gt;-14,"SLA Breach","OK")</f>
        <v>OK</v>
      </c>
    </row>
    <row r="11" spans="1:15" x14ac:dyDescent="0.35">
      <c r="A11" s="1" t="s">
        <v>75</v>
      </c>
      <c r="B11" s="1" t="s">
        <v>10</v>
      </c>
      <c r="C11" s="1" t="s">
        <v>11</v>
      </c>
      <c r="D11" s="1" t="s">
        <v>12</v>
      </c>
      <c r="E11">
        <v>784</v>
      </c>
      <c r="F11">
        <v>214</v>
      </c>
      <c r="G11" s="1" t="s">
        <v>13</v>
      </c>
      <c r="H11" s="1" t="s">
        <v>33</v>
      </c>
      <c r="I11" s="2">
        <v>45769</v>
      </c>
      <c r="J11">
        <v>588.15724911839891</v>
      </c>
      <c r="K11" s="2">
        <v>45773</v>
      </c>
      <c r="L11" s="1" t="s">
        <v>533</v>
      </c>
      <c r="M11">
        <f>Refund_Compliance[[#This Row],[SaleDate]]-Refund_Compliance[[#This Row],[RefundDate]]</f>
        <v>-4</v>
      </c>
      <c r="N11" s="3">
        <f>Refund_Compliance[[#This Row],[RefundAmount]]/Refund_Compliance[[#This Row],[FareCharged]]</f>
        <v>0.75020057285510067</v>
      </c>
      <c r="O11" t="str">
        <f>IF(Refund_Compliance[[#This Row],[Refund Turnaround Days]]&gt;-14,"SLA Breach","OK")</f>
        <v>SLA Breach</v>
      </c>
    </row>
    <row r="12" spans="1:15" x14ac:dyDescent="0.35">
      <c r="A12" s="1" t="s">
        <v>76</v>
      </c>
      <c r="B12" s="1" t="s">
        <v>48</v>
      </c>
      <c r="C12" s="1" t="s">
        <v>11</v>
      </c>
      <c r="D12" s="1" t="s">
        <v>12</v>
      </c>
      <c r="E12">
        <v>1137</v>
      </c>
      <c r="F12">
        <v>354</v>
      </c>
      <c r="G12" s="1" t="s">
        <v>13</v>
      </c>
      <c r="H12" s="1" t="s">
        <v>14</v>
      </c>
      <c r="I12" s="2">
        <v>45731</v>
      </c>
      <c r="J12">
        <v>814.50651382720207</v>
      </c>
      <c r="K12" s="2">
        <v>45776</v>
      </c>
      <c r="L12" s="1" t="s">
        <v>531</v>
      </c>
      <c r="M12">
        <f>Refund_Compliance[[#This Row],[SaleDate]]-Refund_Compliance[[#This Row],[RefundDate]]</f>
        <v>-45</v>
      </c>
      <c r="N12" s="3">
        <f>Refund_Compliance[[#This Row],[RefundAmount]]/Refund_Compliance[[#This Row],[FareCharged]]</f>
        <v>0.71636456800985227</v>
      </c>
      <c r="O12" t="str">
        <f>IF(Refund_Compliance[[#This Row],[Refund Turnaround Days]]&gt;-14,"SLA Breach","OK")</f>
        <v>OK</v>
      </c>
    </row>
    <row r="13" spans="1:15" x14ac:dyDescent="0.35">
      <c r="A13" s="1" t="s">
        <v>77</v>
      </c>
      <c r="B13" s="1" t="s">
        <v>10</v>
      </c>
      <c r="C13" s="1" t="s">
        <v>32</v>
      </c>
      <c r="D13" s="1" t="s">
        <v>12</v>
      </c>
      <c r="E13">
        <v>1714</v>
      </c>
      <c r="F13">
        <v>169</v>
      </c>
      <c r="G13" s="1" t="s">
        <v>13</v>
      </c>
      <c r="H13" s="1" t="s">
        <v>33</v>
      </c>
      <c r="I13" s="2">
        <v>45765</v>
      </c>
      <c r="J13">
        <v>1249.2485616215151</v>
      </c>
      <c r="K13" s="2">
        <v>45802</v>
      </c>
      <c r="L13" s="1" t="s">
        <v>532</v>
      </c>
      <c r="M13">
        <f>Refund_Compliance[[#This Row],[SaleDate]]-Refund_Compliance[[#This Row],[RefundDate]]</f>
        <v>-37</v>
      </c>
      <c r="N13" s="3">
        <f>Refund_Compliance[[#This Row],[RefundAmount]]/Refund_Compliance[[#This Row],[FareCharged]]</f>
        <v>0.72884980257964715</v>
      </c>
      <c r="O13" t="str">
        <f>IF(Refund_Compliance[[#This Row],[Refund Turnaround Days]]&gt;-14,"SLA Breach","OK")</f>
        <v>OK</v>
      </c>
    </row>
    <row r="14" spans="1:15" x14ac:dyDescent="0.35">
      <c r="A14" s="1" t="s">
        <v>78</v>
      </c>
      <c r="B14" s="1" t="s">
        <v>37</v>
      </c>
      <c r="C14" s="1" t="s">
        <v>17</v>
      </c>
      <c r="D14" s="1" t="s">
        <v>12</v>
      </c>
      <c r="E14">
        <v>1822</v>
      </c>
      <c r="F14">
        <v>93</v>
      </c>
      <c r="G14" s="1" t="s">
        <v>13</v>
      </c>
      <c r="H14" s="1" t="s">
        <v>14</v>
      </c>
      <c r="I14" s="2">
        <v>45778</v>
      </c>
      <c r="J14">
        <v>1101.2921615687042</v>
      </c>
      <c r="K14" s="2">
        <v>45817</v>
      </c>
      <c r="L14" s="1" t="s">
        <v>531</v>
      </c>
      <c r="M14">
        <f>Refund_Compliance[[#This Row],[SaleDate]]-Refund_Compliance[[#This Row],[RefundDate]]</f>
        <v>-39</v>
      </c>
      <c r="N14" s="3">
        <f>Refund_Compliance[[#This Row],[RefundAmount]]/Refund_Compliance[[#This Row],[FareCharged]]</f>
        <v>0.60444136200258192</v>
      </c>
      <c r="O14" t="str">
        <f>IF(Refund_Compliance[[#This Row],[Refund Turnaround Days]]&gt;-14,"SLA Breach","OK")</f>
        <v>OK</v>
      </c>
    </row>
    <row r="15" spans="1:15" x14ac:dyDescent="0.35">
      <c r="A15" s="1" t="s">
        <v>81</v>
      </c>
      <c r="B15" s="1" t="s">
        <v>48</v>
      </c>
      <c r="C15" s="1" t="s">
        <v>11</v>
      </c>
      <c r="D15" s="1" t="s">
        <v>21</v>
      </c>
      <c r="E15">
        <v>887</v>
      </c>
      <c r="F15">
        <v>256</v>
      </c>
      <c r="G15" s="1" t="s">
        <v>13</v>
      </c>
      <c r="H15" s="1" t="s">
        <v>42</v>
      </c>
      <c r="I15" s="2">
        <v>45721</v>
      </c>
      <c r="J15">
        <v>607.02163027853669</v>
      </c>
      <c r="K15" s="2">
        <v>45745</v>
      </c>
      <c r="L15" s="1" t="s">
        <v>531</v>
      </c>
      <c r="M15">
        <f>Refund_Compliance[[#This Row],[SaleDate]]-Refund_Compliance[[#This Row],[RefundDate]]</f>
        <v>-24</v>
      </c>
      <c r="N15" s="3">
        <f>Refund_Compliance[[#This Row],[RefundAmount]]/Refund_Compliance[[#This Row],[FareCharged]]</f>
        <v>0.68435358543239766</v>
      </c>
      <c r="O15" t="str">
        <f>IF(Refund_Compliance[[#This Row],[Refund Turnaround Days]]&gt;-14,"SLA Breach","OK")</f>
        <v>OK</v>
      </c>
    </row>
    <row r="16" spans="1:15" x14ac:dyDescent="0.35">
      <c r="A16" s="1" t="s">
        <v>87</v>
      </c>
      <c r="B16" s="1" t="s">
        <v>10</v>
      </c>
      <c r="C16" s="1" t="s">
        <v>11</v>
      </c>
      <c r="D16" s="1" t="s">
        <v>12</v>
      </c>
      <c r="E16">
        <v>1710</v>
      </c>
      <c r="F16">
        <v>69</v>
      </c>
      <c r="G16" s="1" t="s">
        <v>13</v>
      </c>
      <c r="H16" s="1" t="s">
        <v>14</v>
      </c>
      <c r="I16" s="2">
        <v>45662</v>
      </c>
      <c r="J16">
        <v>1171.1903338690358</v>
      </c>
      <c r="K16" s="2">
        <v>45665</v>
      </c>
      <c r="L16" s="1" t="s">
        <v>534</v>
      </c>
      <c r="M16">
        <f>Refund_Compliance[[#This Row],[SaleDate]]-Refund_Compliance[[#This Row],[RefundDate]]</f>
        <v>-3</v>
      </c>
      <c r="N16" s="3">
        <f>Refund_Compliance[[#This Row],[RefundAmount]]/Refund_Compliance[[#This Row],[FareCharged]]</f>
        <v>0.68490662799358826</v>
      </c>
      <c r="O16" t="str">
        <f>IF(Refund_Compliance[[#This Row],[Refund Turnaround Days]]&gt;-14,"SLA Breach","OK")</f>
        <v>SLA Breach</v>
      </c>
    </row>
    <row r="17" spans="1:15" x14ac:dyDescent="0.35">
      <c r="A17" s="1" t="s">
        <v>90</v>
      </c>
      <c r="B17" s="1" t="s">
        <v>20</v>
      </c>
      <c r="C17" s="1" t="s">
        <v>25</v>
      </c>
      <c r="D17" s="1" t="s">
        <v>12</v>
      </c>
      <c r="E17">
        <v>1104</v>
      </c>
      <c r="F17">
        <v>50</v>
      </c>
      <c r="G17" s="1" t="s">
        <v>13</v>
      </c>
      <c r="H17" s="1" t="s">
        <v>33</v>
      </c>
      <c r="I17" s="2">
        <v>45762</v>
      </c>
      <c r="J17">
        <v>580.89997114348478</v>
      </c>
      <c r="K17" s="2">
        <v>45780</v>
      </c>
      <c r="L17" s="1" t="s">
        <v>531</v>
      </c>
      <c r="M17">
        <f>Refund_Compliance[[#This Row],[SaleDate]]-Refund_Compliance[[#This Row],[RefundDate]]</f>
        <v>-18</v>
      </c>
      <c r="N17" s="3">
        <f>Refund_Compliance[[#This Row],[RefundAmount]]/Refund_Compliance[[#This Row],[FareCharged]]</f>
        <v>0.52617751009373626</v>
      </c>
      <c r="O17" t="str">
        <f>IF(Refund_Compliance[[#This Row],[Refund Turnaround Days]]&gt;-14,"SLA Breach","OK")</f>
        <v>OK</v>
      </c>
    </row>
    <row r="18" spans="1:15" x14ac:dyDescent="0.35">
      <c r="A18" s="1" t="s">
        <v>95</v>
      </c>
      <c r="B18" s="1" t="s">
        <v>10</v>
      </c>
      <c r="C18" s="1" t="s">
        <v>11</v>
      </c>
      <c r="D18" s="1" t="s">
        <v>12</v>
      </c>
      <c r="E18">
        <v>187</v>
      </c>
      <c r="F18">
        <v>108</v>
      </c>
      <c r="G18" s="1" t="s">
        <v>13</v>
      </c>
      <c r="H18" s="1" t="s">
        <v>23</v>
      </c>
      <c r="I18" s="2">
        <v>45671</v>
      </c>
      <c r="J18">
        <v>165.26757326642536</v>
      </c>
      <c r="K18" s="2">
        <v>45700</v>
      </c>
      <c r="L18" s="1" t="s">
        <v>534</v>
      </c>
      <c r="M18">
        <f>Refund_Compliance[[#This Row],[SaleDate]]-Refund_Compliance[[#This Row],[RefundDate]]</f>
        <v>-29</v>
      </c>
      <c r="N18" s="3">
        <f>Refund_Compliance[[#This Row],[RefundAmount]]/Refund_Compliance[[#This Row],[FareCharged]]</f>
        <v>0.88378381425895913</v>
      </c>
      <c r="O18" t="str">
        <f>IF(Refund_Compliance[[#This Row],[Refund Turnaround Days]]&gt;-14,"SLA Breach","OK")</f>
        <v>OK</v>
      </c>
    </row>
    <row r="19" spans="1:15" x14ac:dyDescent="0.35">
      <c r="A19" s="1" t="s">
        <v>97</v>
      </c>
      <c r="B19" s="1" t="s">
        <v>37</v>
      </c>
      <c r="C19" s="1" t="s">
        <v>17</v>
      </c>
      <c r="D19" s="1" t="s">
        <v>51</v>
      </c>
      <c r="E19">
        <v>1424</v>
      </c>
      <c r="F19">
        <v>210</v>
      </c>
      <c r="G19" s="1" t="s">
        <v>13</v>
      </c>
      <c r="H19" s="1" t="s">
        <v>23</v>
      </c>
      <c r="I19" s="2">
        <v>45763</v>
      </c>
      <c r="J19">
        <v>1008.551155515562</v>
      </c>
      <c r="K19" s="2">
        <v>45792</v>
      </c>
      <c r="L19" s="1" t="s">
        <v>533</v>
      </c>
      <c r="M19">
        <f>Refund_Compliance[[#This Row],[SaleDate]]-Refund_Compliance[[#This Row],[RefundDate]]</f>
        <v>-29</v>
      </c>
      <c r="N19" s="3">
        <f>Refund_Compliance[[#This Row],[RefundAmount]]/Refund_Compliance[[#This Row],[FareCharged]]</f>
        <v>0.70825221595193955</v>
      </c>
      <c r="O19" t="str">
        <f>IF(Refund_Compliance[[#This Row],[Refund Turnaround Days]]&gt;-14,"SLA Breach","OK")</f>
        <v>OK</v>
      </c>
    </row>
    <row r="20" spans="1:15" x14ac:dyDescent="0.35">
      <c r="A20" s="1" t="s">
        <v>99</v>
      </c>
      <c r="B20" s="1" t="s">
        <v>37</v>
      </c>
      <c r="C20" s="1" t="s">
        <v>17</v>
      </c>
      <c r="D20" s="1" t="s">
        <v>12</v>
      </c>
      <c r="E20">
        <v>1775</v>
      </c>
      <c r="F20">
        <v>255</v>
      </c>
      <c r="G20" s="1" t="s">
        <v>13</v>
      </c>
      <c r="H20" s="1" t="s">
        <v>42</v>
      </c>
      <c r="I20" s="2">
        <v>45723</v>
      </c>
      <c r="J20">
        <v>1617.1846495495756</v>
      </c>
      <c r="K20" s="2">
        <v>45734</v>
      </c>
      <c r="L20" s="1" t="s">
        <v>532</v>
      </c>
      <c r="M20">
        <f>Refund_Compliance[[#This Row],[SaleDate]]-Refund_Compliance[[#This Row],[RefundDate]]</f>
        <v>-11</v>
      </c>
      <c r="N20" s="3">
        <f>Refund_Compliance[[#This Row],[RefundAmount]]/Refund_Compliance[[#This Row],[FareCharged]]</f>
        <v>0.91108994340821159</v>
      </c>
      <c r="O20" t="str">
        <f>IF(Refund_Compliance[[#This Row],[Refund Turnaround Days]]&gt;-14,"SLA Breach","OK")</f>
        <v>SLA Breach</v>
      </c>
    </row>
    <row r="21" spans="1:15" x14ac:dyDescent="0.35">
      <c r="A21" s="1" t="s">
        <v>100</v>
      </c>
      <c r="B21" s="1" t="s">
        <v>27</v>
      </c>
      <c r="C21" s="1" t="s">
        <v>17</v>
      </c>
      <c r="D21" s="1" t="s">
        <v>12</v>
      </c>
      <c r="E21">
        <v>1063</v>
      </c>
      <c r="F21">
        <v>61</v>
      </c>
      <c r="G21" s="1" t="s">
        <v>13</v>
      </c>
      <c r="H21" s="1" t="s">
        <v>18</v>
      </c>
      <c r="I21" s="2">
        <v>45658</v>
      </c>
      <c r="J21">
        <v>983.4599625952244</v>
      </c>
      <c r="K21" s="2">
        <v>45699</v>
      </c>
      <c r="L21" s="1" t="s">
        <v>531</v>
      </c>
      <c r="M21">
        <f>Refund_Compliance[[#This Row],[SaleDate]]-Refund_Compliance[[#This Row],[RefundDate]]</f>
        <v>-41</v>
      </c>
      <c r="N21" s="3">
        <f>Refund_Compliance[[#This Row],[RefundAmount]]/Refund_Compliance[[#This Row],[FareCharged]]</f>
        <v>0.9251740005599477</v>
      </c>
      <c r="O21" t="str">
        <f>IF(Refund_Compliance[[#This Row],[Refund Turnaround Days]]&gt;-14,"SLA Breach","OK")</f>
        <v>OK</v>
      </c>
    </row>
    <row r="22" spans="1:15" x14ac:dyDescent="0.35">
      <c r="A22" s="1" t="s">
        <v>101</v>
      </c>
      <c r="B22" s="1" t="s">
        <v>10</v>
      </c>
      <c r="C22" s="1" t="s">
        <v>25</v>
      </c>
      <c r="D22" s="1" t="s">
        <v>12</v>
      </c>
      <c r="E22">
        <v>603</v>
      </c>
      <c r="F22">
        <v>325</v>
      </c>
      <c r="G22" s="1" t="s">
        <v>13</v>
      </c>
      <c r="H22" s="1" t="s">
        <v>14</v>
      </c>
      <c r="I22" s="2">
        <v>45716</v>
      </c>
      <c r="J22">
        <v>365.41620749164542</v>
      </c>
      <c r="K22" s="2">
        <v>45727</v>
      </c>
      <c r="L22" s="1" t="s">
        <v>532</v>
      </c>
      <c r="M22">
        <f>Refund_Compliance[[#This Row],[SaleDate]]-Refund_Compliance[[#This Row],[RefundDate]]</f>
        <v>-11</v>
      </c>
      <c r="N22" s="3">
        <f>Refund_Compliance[[#This Row],[RefundAmount]]/Refund_Compliance[[#This Row],[FareCharged]]</f>
        <v>0.60599702734932903</v>
      </c>
      <c r="O22" t="str">
        <f>IF(Refund_Compliance[[#This Row],[Refund Turnaround Days]]&gt;-14,"SLA Breach","OK")</f>
        <v>SLA Breach</v>
      </c>
    </row>
    <row r="23" spans="1:15" x14ac:dyDescent="0.35">
      <c r="A23" s="1" t="s">
        <v>103</v>
      </c>
      <c r="B23" s="1" t="s">
        <v>16</v>
      </c>
      <c r="C23" s="1" t="s">
        <v>25</v>
      </c>
      <c r="D23" s="1" t="s">
        <v>12</v>
      </c>
      <c r="E23">
        <v>1489</v>
      </c>
      <c r="F23">
        <v>291</v>
      </c>
      <c r="G23" s="1" t="s">
        <v>13</v>
      </c>
      <c r="H23" s="1" t="s">
        <v>14</v>
      </c>
      <c r="I23" s="2">
        <v>45682</v>
      </c>
      <c r="J23">
        <v>1233.8996674756606</v>
      </c>
      <c r="K23" s="2">
        <v>45724</v>
      </c>
      <c r="L23" s="1" t="s">
        <v>531</v>
      </c>
      <c r="M23">
        <f>Refund_Compliance[[#This Row],[SaleDate]]-Refund_Compliance[[#This Row],[RefundDate]]</f>
        <v>-42</v>
      </c>
      <c r="N23" s="3">
        <f>Refund_Compliance[[#This Row],[RefundAmount]]/Refund_Compliance[[#This Row],[FareCharged]]</f>
        <v>0.82867674108506417</v>
      </c>
      <c r="O23" t="str">
        <f>IF(Refund_Compliance[[#This Row],[Refund Turnaround Days]]&gt;-14,"SLA Breach","OK")</f>
        <v>OK</v>
      </c>
    </row>
    <row r="24" spans="1:15" x14ac:dyDescent="0.35">
      <c r="A24" s="1" t="s">
        <v>106</v>
      </c>
      <c r="B24" s="1" t="s">
        <v>10</v>
      </c>
      <c r="C24" s="1" t="s">
        <v>11</v>
      </c>
      <c r="D24" s="1" t="s">
        <v>12</v>
      </c>
      <c r="E24">
        <v>945</v>
      </c>
      <c r="F24">
        <v>348</v>
      </c>
      <c r="G24" s="1" t="s">
        <v>13</v>
      </c>
      <c r="H24" s="1" t="s">
        <v>14</v>
      </c>
      <c r="I24" s="2">
        <v>45708</v>
      </c>
      <c r="J24">
        <v>695.65315246700891</v>
      </c>
      <c r="K24" s="2">
        <v>45737</v>
      </c>
      <c r="L24" s="1" t="s">
        <v>532</v>
      </c>
      <c r="M24">
        <f>Refund_Compliance[[#This Row],[SaleDate]]-Refund_Compliance[[#This Row],[RefundDate]]</f>
        <v>-29</v>
      </c>
      <c r="N24" s="3">
        <f>Refund_Compliance[[#This Row],[RefundAmount]]/Refund_Compliance[[#This Row],[FareCharged]]</f>
        <v>0.73614090208149086</v>
      </c>
      <c r="O24" t="str">
        <f>IF(Refund_Compliance[[#This Row],[Refund Turnaround Days]]&gt;-14,"SLA Breach","OK")</f>
        <v>OK</v>
      </c>
    </row>
    <row r="25" spans="1:15" x14ac:dyDescent="0.35">
      <c r="A25" s="1" t="s">
        <v>108</v>
      </c>
      <c r="B25" s="1" t="s">
        <v>27</v>
      </c>
      <c r="C25" s="1" t="s">
        <v>11</v>
      </c>
      <c r="D25" s="1" t="s">
        <v>12</v>
      </c>
      <c r="E25">
        <v>742</v>
      </c>
      <c r="F25">
        <v>266</v>
      </c>
      <c r="G25" s="1" t="s">
        <v>13</v>
      </c>
      <c r="H25" s="1" t="s">
        <v>42</v>
      </c>
      <c r="I25" s="2">
        <v>45777</v>
      </c>
      <c r="J25">
        <v>697.53814976887099</v>
      </c>
      <c r="K25" s="2">
        <v>45780</v>
      </c>
      <c r="L25" s="1" t="s">
        <v>531</v>
      </c>
      <c r="M25">
        <f>Refund_Compliance[[#This Row],[SaleDate]]-Refund_Compliance[[#This Row],[RefundDate]]</f>
        <v>-3</v>
      </c>
      <c r="N25" s="3">
        <f>Refund_Compliance[[#This Row],[RefundAmount]]/Refund_Compliance[[#This Row],[FareCharged]]</f>
        <v>0.94007836896074259</v>
      </c>
      <c r="O25" t="str">
        <f>IF(Refund_Compliance[[#This Row],[Refund Turnaround Days]]&gt;-14,"SLA Breach","OK")</f>
        <v>SLA Breach</v>
      </c>
    </row>
    <row r="26" spans="1:15" x14ac:dyDescent="0.35">
      <c r="A26" s="1" t="s">
        <v>122</v>
      </c>
      <c r="B26" s="1" t="s">
        <v>10</v>
      </c>
      <c r="C26" s="1" t="s">
        <v>32</v>
      </c>
      <c r="D26" s="1" t="s">
        <v>12</v>
      </c>
      <c r="E26">
        <v>1462</v>
      </c>
      <c r="F26">
        <v>385</v>
      </c>
      <c r="G26" s="1" t="s">
        <v>13</v>
      </c>
      <c r="H26" s="1" t="s">
        <v>23</v>
      </c>
      <c r="I26" s="2">
        <v>45752</v>
      </c>
      <c r="J26">
        <v>888.70643647798784</v>
      </c>
      <c r="K26" s="2">
        <v>45791</v>
      </c>
      <c r="L26" s="1" t="s">
        <v>531</v>
      </c>
      <c r="M26">
        <f>Refund_Compliance[[#This Row],[SaleDate]]-Refund_Compliance[[#This Row],[RefundDate]]</f>
        <v>-39</v>
      </c>
      <c r="N26" s="3">
        <f>Refund_Compliance[[#This Row],[RefundAmount]]/Refund_Compliance[[#This Row],[FareCharged]]</f>
        <v>0.607870339588227</v>
      </c>
      <c r="O26" t="str">
        <f>IF(Refund_Compliance[[#This Row],[Refund Turnaround Days]]&gt;-14,"SLA Breach","OK")</f>
        <v>OK</v>
      </c>
    </row>
    <row r="27" spans="1:15" x14ac:dyDescent="0.35">
      <c r="A27" s="1" t="s">
        <v>123</v>
      </c>
      <c r="B27" s="1" t="s">
        <v>10</v>
      </c>
      <c r="C27" s="1" t="s">
        <v>25</v>
      </c>
      <c r="D27" s="1" t="s">
        <v>12</v>
      </c>
      <c r="E27">
        <v>1435</v>
      </c>
      <c r="F27">
        <v>283</v>
      </c>
      <c r="G27" s="1" t="s">
        <v>13</v>
      </c>
      <c r="H27" s="1" t="s">
        <v>23</v>
      </c>
      <c r="I27" s="2">
        <v>45704</v>
      </c>
      <c r="J27">
        <v>1203.8309712224566</v>
      </c>
      <c r="K27" s="2">
        <v>45737</v>
      </c>
      <c r="L27" s="1" t="s">
        <v>531</v>
      </c>
      <c r="M27">
        <f>Refund_Compliance[[#This Row],[SaleDate]]-Refund_Compliance[[#This Row],[RefundDate]]</f>
        <v>-33</v>
      </c>
      <c r="N27" s="3">
        <f>Refund_Compliance[[#This Row],[RefundAmount]]/Refund_Compliance[[#This Row],[FareCharged]]</f>
        <v>0.83890660015502205</v>
      </c>
      <c r="O27" t="str">
        <f>IF(Refund_Compliance[[#This Row],[Refund Turnaround Days]]&gt;-14,"SLA Breach","OK")</f>
        <v>OK</v>
      </c>
    </row>
    <row r="28" spans="1:15" x14ac:dyDescent="0.35">
      <c r="A28" s="1" t="s">
        <v>126</v>
      </c>
      <c r="B28" s="1" t="s">
        <v>48</v>
      </c>
      <c r="C28" s="1" t="s">
        <v>32</v>
      </c>
      <c r="D28" s="1" t="s">
        <v>12</v>
      </c>
      <c r="E28">
        <v>485</v>
      </c>
      <c r="F28">
        <v>178</v>
      </c>
      <c r="G28" s="1" t="s">
        <v>13</v>
      </c>
      <c r="H28" s="1" t="s">
        <v>23</v>
      </c>
      <c r="I28" s="2">
        <v>45767</v>
      </c>
      <c r="J28">
        <v>389.87988964628528</v>
      </c>
      <c r="K28" s="2">
        <v>45781</v>
      </c>
      <c r="L28" s="1" t="s">
        <v>531</v>
      </c>
      <c r="M28">
        <f>Refund_Compliance[[#This Row],[SaleDate]]-Refund_Compliance[[#This Row],[RefundDate]]</f>
        <v>-14</v>
      </c>
      <c r="N28" s="3">
        <f>Refund_Compliance[[#This Row],[RefundAmount]]/Refund_Compliance[[#This Row],[FareCharged]]</f>
        <v>0.80387606112636145</v>
      </c>
      <c r="O28" t="str">
        <f>IF(Refund_Compliance[[#This Row],[Refund Turnaround Days]]&gt;-14,"SLA Breach","OK")</f>
        <v>OK</v>
      </c>
    </row>
    <row r="29" spans="1:15" x14ac:dyDescent="0.35">
      <c r="A29" s="1" t="s">
        <v>130</v>
      </c>
      <c r="B29" s="1" t="s">
        <v>48</v>
      </c>
      <c r="C29" s="1" t="s">
        <v>25</v>
      </c>
      <c r="D29" s="1" t="s">
        <v>12</v>
      </c>
      <c r="E29">
        <v>720</v>
      </c>
      <c r="F29">
        <v>135</v>
      </c>
      <c r="G29" s="1" t="s">
        <v>13</v>
      </c>
      <c r="H29" s="1" t="s">
        <v>33</v>
      </c>
      <c r="I29" s="2">
        <v>45748</v>
      </c>
      <c r="J29">
        <v>466.30853192585982</v>
      </c>
      <c r="K29" s="2">
        <v>45765</v>
      </c>
      <c r="L29" s="1" t="s">
        <v>531</v>
      </c>
      <c r="M29">
        <f>Refund_Compliance[[#This Row],[SaleDate]]-Refund_Compliance[[#This Row],[RefundDate]]</f>
        <v>-17</v>
      </c>
      <c r="N29" s="3">
        <f>Refund_Compliance[[#This Row],[RefundAmount]]/Refund_Compliance[[#This Row],[FareCharged]]</f>
        <v>0.64765073878591639</v>
      </c>
      <c r="O29" t="str">
        <f>IF(Refund_Compliance[[#This Row],[Refund Turnaround Days]]&gt;-14,"SLA Breach","OK")</f>
        <v>OK</v>
      </c>
    </row>
    <row r="30" spans="1:15" x14ac:dyDescent="0.35">
      <c r="A30" s="1" t="s">
        <v>133</v>
      </c>
      <c r="B30" s="1" t="s">
        <v>10</v>
      </c>
      <c r="C30" s="1" t="s">
        <v>25</v>
      </c>
      <c r="D30" s="1" t="s">
        <v>12</v>
      </c>
      <c r="E30">
        <v>1854</v>
      </c>
      <c r="F30">
        <v>242</v>
      </c>
      <c r="G30" s="1" t="s">
        <v>13</v>
      </c>
      <c r="H30" s="1" t="s">
        <v>42</v>
      </c>
      <c r="I30" s="2">
        <v>45714</v>
      </c>
      <c r="J30">
        <v>1053.6290376846371</v>
      </c>
      <c r="K30" s="2">
        <v>45750</v>
      </c>
      <c r="L30" s="1" t="s">
        <v>531</v>
      </c>
      <c r="M30">
        <f>Refund_Compliance[[#This Row],[SaleDate]]-Refund_Compliance[[#This Row],[RefundDate]]</f>
        <v>-36</v>
      </c>
      <c r="N30" s="3">
        <f>Refund_Compliance[[#This Row],[RefundAmount]]/Refund_Compliance[[#This Row],[FareCharged]]</f>
        <v>0.56830045182558631</v>
      </c>
      <c r="O30" t="str">
        <f>IF(Refund_Compliance[[#This Row],[Refund Turnaround Days]]&gt;-14,"SLA Breach","OK")</f>
        <v>OK</v>
      </c>
    </row>
    <row r="31" spans="1:15" x14ac:dyDescent="0.35">
      <c r="A31" s="1" t="s">
        <v>134</v>
      </c>
      <c r="B31" s="1" t="s">
        <v>20</v>
      </c>
      <c r="C31" s="1" t="s">
        <v>17</v>
      </c>
      <c r="D31" s="1" t="s">
        <v>12</v>
      </c>
      <c r="E31">
        <v>930</v>
      </c>
      <c r="F31">
        <v>360</v>
      </c>
      <c r="G31" s="1" t="s">
        <v>13</v>
      </c>
      <c r="H31" s="1" t="s">
        <v>42</v>
      </c>
      <c r="I31" s="2">
        <v>45686</v>
      </c>
      <c r="J31">
        <v>768.01248862193358</v>
      </c>
      <c r="K31" s="2">
        <v>45693</v>
      </c>
      <c r="L31" s="1" t="s">
        <v>531</v>
      </c>
      <c r="M31">
        <f>Refund_Compliance[[#This Row],[SaleDate]]-Refund_Compliance[[#This Row],[RefundDate]]</f>
        <v>-7</v>
      </c>
      <c r="N31" s="3">
        <f>Refund_Compliance[[#This Row],[RefundAmount]]/Refund_Compliance[[#This Row],[FareCharged]]</f>
        <v>0.82581988023863828</v>
      </c>
      <c r="O31" t="str">
        <f>IF(Refund_Compliance[[#This Row],[Refund Turnaround Days]]&gt;-14,"SLA Breach","OK")</f>
        <v>SLA Breach</v>
      </c>
    </row>
    <row r="32" spans="1:15" x14ac:dyDescent="0.35">
      <c r="A32" s="1" t="s">
        <v>137</v>
      </c>
      <c r="B32" s="1" t="s">
        <v>20</v>
      </c>
      <c r="C32" s="1" t="s">
        <v>32</v>
      </c>
      <c r="D32" s="1" t="s">
        <v>12</v>
      </c>
      <c r="E32">
        <v>1518</v>
      </c>
      <c r="F32">
        <v>163</v>
      </c>
      <c r="G32" s="1" t="s">
        <v>13</v>
      </c>
      <c r="H32" s="1" t="s">
        <v>23</v>
      </c>
      <c r="I32" s="2">
        <v>45768</v>
      </c>
      <c r="J32">
        <v>1319.5954707224389</v>
      </c>
      <c r="K32" s="2">
        <v>45775</v>
      </c>
      <c r="L32" s="1" t="s">
        <v>531</v>
      </c>
      <c r="M32">
        <f>Refund_Compliance[[#This Row],[SaleDate]]-Refund_Compliance[[#This Row],[RefundDate]]</f>
        <v>-7</v>
      </c>
      <c r="N32" s="3">
        <f>Refund_Compliance[[#This Row],[RefundAmount]]/Refund_Compliance[[#This Row],[FareCharged]]</f>
        <v>0.86929872906616523</v>
      </c>
      <c r="O32" t="str">
        <f>IF(Refund_Compliance[[#This Row],[Refund Turnaround Days]]&gt;-14,"SLA Breach","OK")</f>
        <v>SLA Breach</v>
      </c>
    </row>
    <row r="33" spans="1:15" x14ac:dyDescent="0.35">
      <c r="A33" s="1" t="s">
        <v>141</v>
      </c>
      <c r="B33" s="1" t="s">
        <v>16</v>
      </c>
      <c r="C33" s="1" t="s">
        <v>25</v>
      </c>
      <c r="D33" s="1" t="s">
        <v>51</v>
      </c>
      <c r="E33">
        <v>340</v>
      </c>
      <c r="F33">
        <v>352</v>
      </c>
      <c r="G33" s="1" t="s">
        <v>13</v>
      </c>
      <c r="H33" s="1" t="s">
        <v>42</v>
      </c>
      <c r="I33" s="2">
        <v>45685</v>
      </c>
      <c r="J33">
        <v>223.65664843976947</v>
      </c>
      <c r="K33" s="2">
        <v>45710</v>
      </c>
      <c r="L33" s="1" t="s">
        <v>531</v>
      </c>
      <c r="M33">
        <f>Refund_Compliance[[#This Row],[SaleDate]]-Refund_Compliance[[#This Row],[RefundDate]]</f>
        <v>-25</v>
      </c>
      <c r="N33" s="3">
        <f>Refund_Compliance[[#This Row],[RefundAmount]]/Refund_Compliance[[#This Row],[FareCharged]]</f>
        <v>0.65781367188167494</v>
      </c>
      <c r="O33" t="str">
        <f>IF(Refund_Compliance[[#This Row],[Refund Turnaround Days]]&gt;-14,"SLA Breach","OK")</f>
        <v>OK</v>
      </c>
    </row>
    <row r="34" spans="1:15" x14ac:dyDescent="0.35">
      <c r="A34" s="1" t="s">
        <v>143</v>
      </c>
      <c r="B34" s="1" t="s">
        <v>27</v>
      </c>
      <c r="C34" s="1" t="s">
        <v>25</v>
      </c>
      <c r="D34" s="1" t="s">
        <v>21</v>
      </c>
      <c r="E34">
        <v>571</v>
      </c>
      <c r="F34">
        <v>125</v>
      </c>
      <c r="G34" s="1" t="s">
        <v>13</v>
      </c>
      <c r="H34" s="1" t="s">
        <v>42</v>
      </c>
      <c r="I34" s="2">
        <v>45668</v>
      </c>
      <c r="J34">
        <v>469.59970844837056</v>
      </c>
      <c r="K34" s="2">
        <v>45696</v>
      </c>
      <c r="L34" s="1" t="s">
        <v>532</v>
      </c>
      <c r="M34">
        <f>Refund_Compliance[[#This Row],[SaleDate]]-Refund_Compliance[[#This Row],[RefundDate]]</f>
        <v>-28</v>
      </c>
      <c r="N34" s="3">
        <f>Refund_Compliance[[#This Row],[RefundAmount]]/Refund_Compliance[[#This Row],[FareCharged]]</f>
        <v>0.8224163020111569</v>
      </c>
      <c r="O34" t="str">
        <f>IF(Refund_Compliance[[#This Row],[Refund Turnaround Days]]&gt;-14,"SLA Breach","OK")</f>
        <v>OK</v>
      </c>
    </row>
    <row r="35" spans="1:15" x14ac:dyDescent="0.35">
      <c r="A35" s="1" t="s">
        <v>144</v>
      </c>
      <c r="B35" s="1" t="s">
        <v>48</v>
      </c>
      <c r="C35" s="1" t="s">
        <v>11</v>
      </c>
      <c r="D35" s="1" t="s">
        <v>12</v>
      </c>
      <c r="E35">
        <v>849</v>
      </c>
      <c r="F35">
        <v>377</v>
      </c>
      <c r="G35" s="1" t="s">
        <v>13</v>
      </c>
      <c r="H35" s="1" t="s">
        <v>33</v>
      </c>
      <c r="I35" s="2">
        <v>45665</v>
      </c>
      <c r="J35">
        <v>592.23307028108309</v>
      </c>
      <c r="K35" s="2">
        <v>45684</v>
      </c>
      <c r="L35" s="1" t="s">
        <v>534</v>
      </c>
      <c r="M35">
        <f>Refund_Compliance[[#This Row],[SaleDate]]-Refund_Compliance[[#This Row],[RefundDate]]</f>
        <v>-19</v>
      </c>
      <c r="N35" s="3">
        <f>Refund_Compliance[[#This Row],[RefundAmount]]/Refund_Compliance[[#This Row],[FareCharged]]</f>
        <v>0.69756545380575152</v>
      </c>
      <c r="O35" t="str">
        <f>IF(Refund_Compliance[[#This Row],[Refund Turnaround Days]]&gt;-14,"SLA Breach","OK")</f>
        <v>OK</v>
      </c>
    </row>
    <row r="36" spans="1:15" x14ac:dyDescent="0.35">
      <c r="A36" s="1" t="s">
        <v>150</v>
      </c>
      <c r="B36" s="1" t="s">
        <v>37</v>
      </c>
      <c r="C36" s="1" t="s">
        <v>32</v>
      </c>
      <c r="D36" s="1" t="s">
        <v>12</v>
      </c>
      <c r="E36">
        <v>910</v>
      </c>
      <c r="F36">
        <v>336</v>
      </c>
      <c r="G36" s="1" t="s">
        <v>13</v>
      </c>
      <c r="H36" s="1" t="s">
        <v>23</v>
      </c>
      <c r="I36" s="2">
        <v>45719</v>
      </c>
      <c r="J36">
        <v>779.50913189359107</v>
      </c>
      <c r="K36" s="2">
        <v>45743</v>
      </c>
      <c r="L36" s="1" t="s">
        <v>531</v>
      </c>
      <c r="M36">
        <f>Refund_Compliance[[#This Row],[SaleDate]]-Refund_Compliance[[#This Row],[RefundDate]]</f>
        <v>-24</v>
      </c>
      <c r="N36" s="3">
        <f>Refund_Compliance[[#This Row],[RefundAmount]]/Refund_Compliance[[#This Row],[FareCharged]]</f>
        <v>0.85660344164130886</v>
      </c>
      <c r="O36" t="str">
        <f>IF(Refund_Compliance[[#This Row],[Refund Turnaround Days]]&gt;-14,"SLA Breach","OK")</f>
        <v>OK</v>
      </c>
    </row>
    <row r="37" spans="1:15" x14ac:dyDescent="0.35">
      <c r="A37" s="1" t="s">
        <v>152</v>
      </c>
      <c r="B37" s="1" t="s">
        <v>20</v>
      </c>
      <c r="C37" s="1" t="s">
        <v>17</v>
      </c>
      <c r="D37" s="1" t="s">
        <v>21</v>
      </c>
      <c r="E37">
        <v>684</v>
      </c>
      <c r="F37">
        <v>102</v>
      </c>
      <c r="G37" s="1" t="s">
        <v>13</v>
      </c>
      <c r="H37" s="1" t="s">
        <v>14</v>
      </c>
      <c r="I37" s="2">
        <v>45762</v>
      </c>
      <c r="J37">
        <v>410.1316240137661</v>
      </c>
      <c r="K37" s="2">
        <v>45783</v>
      </c>
      <c r="L37" s="1" t="s">
        <v>534</v>
      </c>
      <c r="M37">
        <f>Refund_Compliance[[#This Row],[SaleDate]]-Refund_Compliance[[#This Row],[RefundDate]]</f>
        <v>-21</v>
      </c>
      <c r="N37" s="3">
        <f>Refund_Compliance[[#This Row],[RefundAmount]]/Refund_Compliance[[#This Row],[FareCharged]]</f>
        <v>0.5996076374470265</v>
      </c>
      <c r="O37" t="str">
        <f>IF(Refund_Compliance[[#This Row],[Refund Turnaround Days]]&gt;-14,"SLA Breach","OK")</f>
        <v>OK</v>
      </c>
    </row>
    <row r="38" spans="1:15" x14ac:dyDescent="0.35">
      <c r="A38" s="1" t="s">
        <v>164</v>
      </c>
      <c r="B38" s="1" t="s">
        <v>27</v>
      </c>
      <c r="C38" s="1" t="s">
        <v>25</v>
      </c>
      <c r="D38" s="1" t="s">
        <v>12</v>
      </c>
      <c r="E38">
        <v>738</v>
      </c>
      <c r="F38">
        <v>318</v>
      </c>
      <c r="G38" s="1" t="s">
        <v>13</v>
      </c>
      <c r="H38" s="1" t="s">
        <v>33</v>
      </c>
      <c r="I38" s="2">
        <v>45702</v>
      </c>
      <c r="J38">
        <v>697.48933597274834</v>
      </c>
      <c r="K38" s="2">
        <v>45708</v>
      </c>
      <c r="L38" s="1" t="s">
        <v>531</v>
      </c>
      <c r="M38">
        <f>Refund_Compliance[[#This Row],[SaleDate]]-Refund_Compliance[[#This Row],[RefundDate]]</f>
        <v>-6</v>
      </c>
      <c r="N38" s="3">
        <f>Refund_Compliance[[#This Row],[RefundAmount]]/Refund_Compliance[[#This Row],[FareCharged]]</f>
        <v>0.94510750131808718</v>
      </c>
      <c r="O38" t="str">
        <f>IF(Refund_Compliance[[#This Row],[Refund Turnaround Days]]&gt;-14,"SLA Breach","OK")</f>
        <v>SLA Breach</v>
      </c>
    </row>
    <row r="39" spans="1:15" x14ac:dyDescent="0.35">
      <c r="A39" s="1" t="s">
        <v>176</v>
      </c>
      <c r="B39" s="1" t="s">
        <v>10</v>
      </c>
      <c r="C39" s="1" t="s">
        <v>25</v>
      </c>
      <c r="D39" s="1" t="s">
        <v>12</v>
      </c>
      <c r="E39">
        <v>1015</v>
      </c>
      <c r="F39">
        <v>328</v>
      </c>
      <c r="G39" s="1" t="s">
        <v>13</v>
      </c>
      <c r="H39" s="1" t="s">
        <v>42</v>
      </c>
      <c r="I39" s="2">
        <v>45660</v>
      </c>
      <c r="J39">
        <v>653.3603702062818</v>
      </c>
      <c r="K39" s="2">
        <v>45670</v>
      </c>
      <c r="L39" s="1" t="s">
        <v>531</v>
      </c>
      <c r="M39">
        <f>Refund_Compliance[[#This Row],[SaleDate]]-Refund_Compliance[[#This Row],[RefundDate]]</f>
        <v>-10</v>
      </c>
      <c r="N39" s="3">
        <f>Refund_Compliance[[#This Row],[RefundAmount]]/Refund_Compliance[[#This Row],[FareCharged]]</f>
        <v>0.64370479823278992</v>
      </c>
      <c r="O39" t="str">
        <f>IF(Refund_Compliance[[#This Row],[Refund Turnaround Days]]&gt;-14,"SLA Breach","OK")</f>
        <v>SLA Breach</v>
      </c>
    </row>
    <row r="40" spans="1:15" x14ac:dyDescent="0.35">
      <c r="A40" s="1" t="s">
        <v>190</v>
      </c>
      <c r="B40" s="1" t="s">
        <v>16</v>
      </c>
      <c r="C40" s="1" t="s">
        <v>17</v>
      </c>
      <c r="D40" s="1" t="s">
        <v>12</v>
      </c>
      <c r="E40">
        <v>1143</v>
      </c>
      <c r="F40">
        <v>142</v>
      </c>
      <c r="G40" s="1" t="s">
        <v>13</v>
      </c>
      <c r="H40" s="1" t="s">
        <v>33</v>
      </c>
      <c r="I40" s="2">
        <v>45695</v>
      </c>
      <c r="J40">
        <v>781.68969200264144</v>
      </c>
      <c r="K40" s="2">
        <v>45720</v>
      </c>
      <c r="L40" s="1" t="s">
        <v>532</v>
      </c>
      <c r="M40">
        <f>Refund_Compliance[[#This Row],[SaleDate]]-Refund_Compliance[[#This Row],[RefundDate]]</f>
        <v>-25</v>
      </c>
      <c r="N40" s="3">
        <f>Refund_Compliance[[#This Row],[RefundAmount]]/Refund_Compliance[[#This Row],[FareCharged]]</f>
        <v>0.68389299387807645</v>
      </c>
      <c r="O40" t="str">
        <f>IF(Refund_Compliance[[#This Row],[Refund Turnaround Days]]&gt;-14,"SLA Breach","OK")</f>
        <v>OK</v>
      </c>
    </row>
    <row r="41" spans="1:15" x14ac:dyDescent="0.35">
      <c r="A41" s="1" t="s">
        <v>194</v>
      </c>
      <c r="B41" s="1" t="s">
        <v>37</v>
      </c>
      <c r="C41" s="1" t="s">
        <v>25</v>
      </c>
      <c r="D41" s="1" t="s">
        <v>21</v>
      </c>
      <c r="E41">
        <v>1395</v>
      </c>
      <c r="F41">
        <v>151</v>
      </c>
      <c r="G41" s="1" t="s">
        <v>13</v>
      </c>
      <c r="H41" s="1" t="s">
        <v>18</v>
      </c>
      <c r="I41" s="2">
        <v>45739</v>
      </c>
      <c r="J41">
        <v>738.01913657604393</v>
      </c>
      <c r="K41" s="2">
        <v>45757</v>
      </c>
      <c r="L41" s="1" t="s">
        <v>533</v>
      </c>
      <c r="M41">
        <f>Refund_Compliance[[#This Row],[SaleDate]]-Refund_Compliance[[#This Row],[RefundDate]]</f>
        <v>-18</v>
      </c>
      <c r="N41" s="3">
        <f>Refund_Compliance[[#This Row],[RefundAmount]]/Refund_Compliance[[#This Row],[FareCharged]]</f>
        <v>0.52904597604017489</v>
      </c>
      <c r="O41" t="str">
        <f>IF(Refund_Compliance[[#This Row],[Refund Turnaround Days]]&gt;-14,"SLA Breach","OK")</f>
        <v>OK</v>
      </c>
    </row>
    <row r="42" spans="1:15" x14ac:dyDescent="0.35">
      <c r="A42" s="1" t="s">
        <v>201</v>
      </c>
      <c r="B42" s="1" t="s">
        <v>37</v>
      </c>
      <c r="C42" s="1" t="s">
        <v>25</v>
      </c>
      <c r="D42" s="1" t="s">
        <v>12</v>
      </c>
      <c r="E42">
        <v>1415</v>
      </c>
      <c r="F42">
        <v>331</v>
      </c>
      <c r="G42" s="1" t="s">
        <v>13</v>
      </c>
      <c r="H42" s="1" t="s">
        <v>14</v>
      </c>
      <c r="I42" s="2">
        <v>45709</v>
      </c>
      <c r="J42">
        <v>786.3948902173031</v>
      </c>
      <c r="K42" s="2">
        <v>45718</v>
      </c>
      <c r="L42" s="1" t="s">
        <v>533</v>
      </c>
      <c r="M42">
        <f>Refund_Compliance[[#This Row],[SaleDate]]-Refund_Compliance[[#This Row],[RefundDate]]</f>
        <v>-9</v>
      </c>
      <c r="N42" s="3">
        <f>Refund_Compliance[[#This Row],[RefundAmount]]/Refund_Compliance[[#This Row],[FareCharged]]</f>
        <v>0.5557561061606382</v>
      </c>
      <c r="O42" t="str">
        <f>IF(Refund_Compliance[[#This Row],[Refund Turnaround Days]]&gt;-14,"SLA Breach","OK")</f>
        <v>SLA Breach</v>
      </c>
    </row>
    <row r="43" spans="1:15" x14ac:dyDescent="0.35">
      <c r="A43" s="1" t="s">
        <v>204</v>
      </c>
      <c r="B43" s="1" t="s">
        <v>10</v>
      </c>
      <c r="C43" s="1" t="s">
        <v>32</v>
      </c>
      <c r="D43" s="1" t="s">
        <v>12</v>
      </c>
      <c r="E43">
        <v>341</v>
      </c>
      <c r="F43">
        <v>166</v>
      </c>
      <c r="G43" s="1" t="s">
        <v>13</v>
      </c>
      <c r="H43" s="1" t="s">
        <v>23</v>
      </c>
      <c r="I43" s="2">
        <v>45736</v>
      </c>
      <c r="J43">
        <v>258.45445441245192</v>
      </c>
      <c r="K43" s="2">
        <v>45774</v>
      </c>
      <c r="L43" s="1" t="s">
        <v>532</v>
      </c>
      <c r="M43">
        <f>Refund_Compliance[[#This Row],[SaleDate]]-Refund_Compliance[[#This Row],[RefundDate]]</f>
        <v>-38</v>
      </c>
      <c r="N43" s="3">
        <f>Refund_Compliance[[#This Row],[RefundAmount]]/Refund_Compliance[[#This Row],[FareCharged]]</f>
        <v>0.75793095135616395</v>
      </c>
      <c r="O43" t="str">
        <f>IF(Refund_Compliance[[#This Row],[Refund Turnaround Days]]&gt;-14,"SLA Breach","OK")</f>
        <v>OK</v>
      </c>
    </row>
    <row r="44" spans="1:15" x14ac:dyDescent="0.35">
      <c r="A44" s="1" t="s">
        <v>210</v>
      </c>
      <c r="B44" s="1" t="s">
        <v>20</v>
      </c>
      <c r="C44" s="1" t="s">
        <v>11</v>
      </c>
      <c r="D44" s="1" t="s">
        <v>21</v>
      </c>
      <c r="E44">
        <v>854</v>
      </c>
      <c r="F44">
        <v>353</v>
      </c>
      <c r="G44" s="1" t="s">
        <v>13</v>
      </c>
      <c r="H44" s="1" t="s">
        <v>33</v>
      </c>
      <c r="I44" s="2">
        <v>45756</v>
      </c>
      <c r="J44">
        <v>541.26207296284383</v>
      </c>
      <c r="K44" s="2">
        <v>45777</v>
      </c>
      <c r="L44" s="1" t="s">
        <v>534</v>
      </c>
      <c r="M44">
        <f>Refund_Compliance[[#This Row],[SaleDate]]-Refund_Compliance[[#This Row],[RefundDate]]</f>
        <v>-21</v>
      </c>
      <c r="N44" s="3">
        <f>Refund_Compliance[[#This Row],[RefundAmount]]/Refund_Compliance[[#This Row],[FareCharged]]</f>
        <v>0.63379633836398575</v>
      </c>
      <c r="O44" t="str">
        <f>IF(Refund_Compliance[[#This Row],[Refund Turnaround Days]]&gt;-14,"SLA Breach","OK")</f>
        <v>OK</v>
      </c>
    </row>
    <row r="45" spans="1:15" x14ac:dyDescent="0.35">
      <c r="A45" s="1" t="s">
        <v>214</v>
      </c>
      <c r="B45" s="1" t="s">
        <v>16</v>
      </c>
      <c r="C45" s="1" t="s">
        <v>11</v>
      </c>
      <c r="D45" s="1" t="s">
        <v>21</v>
      </c>
      <c r="E45">
        <v>359</v>
      </c>
      <c r="F45">
        <v>320</v>
      </c>
      <c r="G45" s="1" t="s">
        <v>13</v>
      </c>
      <c r="H45" s="1" t="s">
        <v>14</v>
      </c>
      <c r="I45" s="2">
        <v>45678</v>
      </c>
      <c r="J45">
        <v>329.46870052072387</v>
      </c>
      <c r="K45" s="2">
        <v>45680</v>
      </c>
      <c r="L45" s="1" t="s">
        <v>533</v>
      </c>
      <c r="M45">
        <f>Refund_Compliance[[#This Row],[SaleDate]]-Refund_Compliance[[#This Row],[RefundDate]]</f>
        <v>-2</v>
      </c>
      <c r="N45" s="3">
        <f>Refund_Compliance[[#This Row],[RefundAmount]]/Refund_Compliance[[#This Row],[FareCharged]]</f>
        <v>0.91774011287109714</v>
      </c>
      <c r="O45" t="str">
        <f>IF(Refund_Compliance[[#This Row],[Refund Turnaround Days]]&gt;-14,"SLA Breach","OK")</f>
        <v>SLA Breach</v>
      </c>
    </row>
    <row r="46" spans="1:15" x14ac:dyDescent="0.35">
      <c r="A46" s="1" t="s">
        <v>215</v>
      </c>
      <c r="B46" s="1" t="s">
        <v>48</v>
      </c>
      <c r="C46" s="1" t="s">
        <v>32</v>
      </c>
      <c r="D46" s="1" t="s">
        <v>12</v>
      </c>
      <c r="E46">
        <v>455</v>
      </c>
      <c r="F46">
        <v>92</v>
      </c>
      <c r="G46" s="1" t="s">
        <v>13</v>
      </c>
      <c r="H46" s="1" t="s">
        <v>23</v>
      </c>
      <c r="I46" s="2">
        <v>45686</v>
      </c>
      <c r="J46">
        <v>230.842745919002</v>
      </c>
      <c r="K46" s="2">
        <v>45689</v>
      </c>
      <c r="L46" s="1" t="s">
        <v>532</v>
      </c>
      <c r="M46">
        <f>Refund_Compliance[[#This Row],[SaleDate]]-Refund_Compliance[[#This Row],[RefundDate]]</f>
        <v>-3</v>
      </c>
      <c r="N46" s="3">
        <f>Refund_Compliance[[#This Row],[RefundAmount]]/Refund_Compliance[[#This Row],[FareCharged]]</f>
        <v>0.50734669432747692</v>
      </c>
      <c r="O46" t="str">
        <f>IF(Refund_Compliance[[#This Row],[Refund Turnaround Days]]&gt;-14,"SLA Breach","OK")</f>
        <v>SLA Breach</v>
      </c>
    </row>
    <row r="47" spans="1:15" x14ac:dyDescent="0.35">
      <c r="A47" s="1" t="s">
        <v>216</v>
      </c>
      <c r="B47" s="1" t="s">
        <v>20</v>
      </c>
      <c r="C47" s="1" t="s">
        <v>17</v>
      </c>
      <c r="D47" s="1" t="s">
        <v>12</v>
      </c>
      <c r="E47">
        <v>1443</v>
      </c>
      <c r="F47">
        <v>392</v>
      </c>
      <c r="G47" s="1" t="s">
        <v>13</v>
      </c>
      <c r="H47" s="1" t="s">
        <v>42</v>
      </c>
      <c r="I47" s="2">
        <v>45658</v>
      </c>
      <c r="J47">
        <v>995.01635611680183</v>
      </c>
      <c r="K47" s="2">
        <v>45696</v>
      </c>
      <c r="L47" s="1" t="s">
        <v>532</v>
      </c>
      <c r="M47">
        <f>Refund_Compliance[[#This Row],[SaleDate]]-Refund_Compliance[[#This Row],[RefundDate]]</f>
        <v>-38</v>
      </c>
      <c r="N47" s="3">
        <f>Refund_Compliance[[#This Row],[RefundAmount]]/Refund_Compliance[[#This Row],[FareCharged]]</f>
        <v>0.68954702433596804</v>
      </c>
      <c r="O47" t="str">
        <f>IF(Refund_Compliance[[#This Row],[Refund Turnaround Days]]&gt;-14,"SLA Breach","OK")</f>
        <v>OK</v>
      </c>
    </row>
    <row r="48" spans="1:15" x14ac:dyDescent="0.35">
      <c r="A48" s="1" t="s">
        <v>230</v>
      </c>
      <c r="B48" s="1" t="s">
        <v>48</v>
      </c>
      <c r="C48" s="1" t="s">
        <v>11</v>
      </c>
      <c r="D48" s="1" t="s">
        <v>12</v>
      </c>
      <c r="E48">
        <v>1206</v>
      </c>
      <c r="F48">
        <v>373</v>
      </c>
      <c r="G48" s="1" t="s">
        <v>13</v>
      </c>
      <c r="H48" s="1" t="s">
        <v>42</v>
      </c>
      <c r="I48" s="2">
        <v>45736</v>
      </c>
      <c r="J48">
        <v>806.4193647017629</v>
      </c>
      <c r="K48" s="2">
        <v>45781</v>
      </c>
      <c r="L48" s="1" t="s">
        <v>533</v>
      </c>
      <c r="M48">
        <f>Refund_Compliance[[#This Row],[SaleDate]]-Refund_Compliance[[#This Row],[RefundDate]]</f>
        <v>-45</v>
      </c>
      <c r="N48" s="3">
        <f>Refund_Compliance[[#This Row],[RefundAmount]]/Refund_Compliance[[#This Row],[FareCharged]]</f>
        <v>0.66867277338454634</v>
      </c>
      <c r="O48" t="str">
        <f>IF(Refund_Compliance[[#This Row],[Refund Turnaround Days]]&gt;-14,"SLA Breach","OK")</f>
        <v>OK</v>
      </c>
    </row>
    <row r="49" spans="1:15" x14ac:dyDescent="0.35">
      <c r="A49" s="1" t="s">
        <v>234</v>
      </c>
      <c r="B49" s="1" t="s">
        <v>10</v>
      </c>
      <c r="C49" s="1" t="s">
        <v>25</v>
      </c>
      <c r="D49" s="1" t="s">
        <v>12</v>
      </c>
      <c r="E49">
        <v>1096</v>
      </c>
      <c r="F49">
        <v>339</v>
      </c>
      <c r="G49" s="1" t="s">
        <v>13</v>
      </c>
      <c r="H49" s="1" t="s">
        <v>33</v>
      </c>
      <c r="I49" s="2">
        <v>45689</v>
      </c>
      <c r="J49">
        <v>558.59154174284527</v>
      </c>
      <c r="K49" s="2">
        <v>45692</v>
      </c>
      <c r="L49" s="1" t="s">
        <v>534</v>
      </c>
      <c r="M49">
        <f>Refund_Compliance[[#This Row],[SaleDate]]-Refund_Compliance[[#This Row],[RefundDate]]</f>
        <v>-3</v>
      </c>
      <c r="N49" s="3">
        <f>Refund_Compliance[[#This Row],[RefundAmount]]/Refund_Compliance[[#This Row],[FareCharged]]</f>
        <v>0.50966381545880046</v>
      </c>
      <c r="O49" t="str">
        <f>IF(Refund_Compliance[[#This Row],[Refund Turnaround Days]]&gt;-14,"SLA Breach","OK")</f>
        <v>SLA Breach</v>
      </c>
    </row>
    <row r="50" spans="1:15" x14ac:dyDescent="0.35">
      <c r="A50" s="1" t="s">
        <v>241</v>
      </c>
      <c r="B50" s="1" t="s">
        <v>48</v>
      </c>
      <c r="C50" s="1" t="s">
        <v>32</v>
      </c>
      <c r="D50" s="1" t="s">
        <v>21</v>
      </c>
      <c r="E50">
        <v>1458</v>
      </c>
      <c r="F50">
        <v>340</v>
      </c>
      <c r="G50" s="1" t="s">
        <v>13</v>
      </c>
      <c r="H50" s="1" t="s">
        <v>42</v>
      </c>
      <c r="I50" s="2">
        <v>45701</v>
      </c>
      <c r="J50">
        <v>819.66456287137191</v>
      </c>
      <c r="K50" s="2">
        <v>45739</v>
      </c>
      <c r="L50" s="1" t="s">
        <v>532</v>
      </c>
      <c r="M50">
        <f>Refund_Compliance[[#This Row],[SaleDate]]-Refund_Compliance[[#This Row],[RefundDate]]</f>
        <v>-38</v>
      </c>
      <c r="N50" s="3">
        <f>Refund_Compliance[[#This Row],[RefundAmount]]/Refund_Compliance[[#This Row],[FareCharged]]</f>
        <v>0.56218419950025511</v>
      </c>
      <c r="O50" t="str">
        <f>IF(Refund_Compliance[[#This Row],[Refund Turnaround Days]]&gt;-14,"SLA Breach","OK")</f>
        <v>OK</v>
      </c>
    </row>
    <row r="51" spans="1:15" x14ac:dyDescent="0.35">
      <c r="A51" s="1" t="s">
        <v>243</v>
      </c>
      <c r="B51" s="1" t="s">
        <v>20</v>
      </c>
      <c r="C51" s="1" t="s">
        <v>25</v>
      </c>
      <c r="D51" s="1" t="s">
        <v>51</v>
      </c>
      <c r="E51">
        <v>1272</v>
      </c>
      <c r="F51">
        <v>193</v>
      </c>
      <c r="G51" s="1" t="s">
        <v>13</v>
      </c>
      <c r="H51" s="1" t="s">
        <v>23</v>
      </c>
      <c r="I51" s="2">
        <v>45664</v>
      </c>
      <c r="J51">
        <v>899.07674124825201</v>
      </c>
      <c r="K51" s="2">
        <v>45696</v>
      </c>
      <c r="L51" s="1" t="s">
        <v>531</v>
      </c>
      <c r="M51">
        <f>Refund_Compliance[[#This Row],[SaleDate]]-Refund_Compliance[[#This Row],[RefundDate]]</f>
        <v>-32</v>
      </c>
      <c r="N51" s="3">
        <f>Refund_Compliance[[#This Row],[RefundAmount]]/Refund_Compliance[[#This Row],[FareCharged]]</f>
        <v>0.70682133745931763</v>
      </c>
      <c r="O51" t="str">
        <f>IF(Refund_Compliance[[#This Row],[Refund Turnaround Days]]&gt;-14,"SLA Breach","OK")</f>
        <v>OK</v>
      </c>
    </row>
    <row r="52" spans="1:15" x14ac:dyDescent="0.35">
      <c r="A52" s="1" t="s">
        <v>246</v>
      </c>
      <c r="B52" s="1" t="s">
        <v>27</v>
      </c>
      <c r="C52" s="1" t="s">
        <v>17</v>
      </c>
      <c r="D52" s="1" t="s">
        <v>51</v>
      </c>
      <c r="E52">
        <v>188</v>
      </c>
      <c r="F52">
        <v>195</v>
      </c>
      <c r="G52" s="1" t="s">
        <v>13</v>
      </c>
      <c r="H52" s="1" t="s">
        <v>14</v>
      </c>
      <c r="I52" s="2">
        <v>45663</v>
      </c>
      <c r="J52">
        <v>140.32927093805998</v>
      </c>
      <c r="K52" s="2">
        <v>45669</v>
      </c>
      <c r="L52" s="1" t="s">
        <v>534</v>
      </c>
      <c r="M52">
        <f>Refund_Compliance[[#This Row],[SaleDate]]-Refund_Compliance[[#This Row],[RefundDate]]</f>
        <v>-6</v>
      </c>
      <c r="N52" s="3">
        <f>Refund_Compliance[[#This Row],[RefundAmount]]/Refund_Compliance[[#This Row],[FareCharged]]</f>
        <v>0.74643229222372331</v>
      </c>
      <c r="O52" t="str">
        <f>IF(Refund_Compliance[[#This Row],[Refund Turnaround Days]]&gt;-14,"SLA Breach","OK")</f>
        <v>SLA Breach</v>
      </c>
    </row>
    <row r="53" spans="1:15" x14ac:dyDescent="0.35">
      <c r="A53" s="1" t="s">
        <v>261</v>
      </c>
      <c r="B53" s="1" t="s">
        <v>20</v>
      </c>
      <c r="C53" s="1" t="s">
        <v>32</v>
      </c>
      <c r="D53" s="1" t="s">
        <v>51</v>
      </c>
      <c r="E53">
        <v>1880</v>
      </c>
      <c r="F53">
        <v>347</v>
      </c>
      <c r="G53" s="1" t="s">
        <v>13</v>
      </c>
      <c r="H53" s="1" t="s">
        <v>42</v>
      </c>
      <c r="I53" s="2">
        <v>45709</v>
      </c>
      <c r="J53">
        <v>1320.0323624195769</v>
      </c>
      <c r="K53" s="2">
        <v>45749</v>
      </c>
      <c r="L53" s="1" t="s">
        <v>534</v>
      </c>
      <c r="M53">
        <f>Refund_Compliance[[#This Row],[SaleDate]]-Refund_Compliance[[#This Row],[RefundDate]]</f>
        <v>-40</v>
      </c>
      <c r="N53" s="3">
        <f>Refund_Compliance[[#This Row],[RefundAmount]]/Refund_Compliance[[#This Row],[FareCharged]]</f>
        <v>0.7021448736274345</v>
      </c>
      <c r="O53" t="str">
        <f>IF(Refund_Compliance[[#This Row],[Refund Turnaround Days]]&gt;-14,"SLA Breach","OK")</f>
        <v>OK</v>
      </c>
    </row>
    <row r="54" spans="1:15" x14ac:dyDescent="0.35">
      <c r="A54" s="1" t="s">
        <v>267</v>
      </c>
      <c r="B54" s="1" t="s">
        <v>37</v>
      </c>
      <c r="C54" s="1" t="s">
        <v>25</v>
      </c>
      <c r="D54" s="1" t="s">
        <v>12</v>
      </c>
      <c r="E54">
        <v>1138</v>
      </c>
      <c r="F54">
        <v>222</v>
      </c>
      <c r="G54" s="1" t="s">
        <v>13</v>
      </c>
      <c r="H54" s="1" t="s">
        <v>23</v>
      </c>
      <c r="I54" s="2">
        <v>45777</v>
      </c>
      <c r="J54">
        <v>871.10353901648136</v>
      </c>
      <c r="K54" s="2">
        <v>45793</v>
      </c>
      <c r="L54" s="1" t="s">
        <v>533</v>
      </c>
      <c r="M54">
        <f>Refund_Compliance[[#This Row],[SaleDate]]-Refund_Compliance[[#This Row],[RefundDate]]</f>
        <v>-16</v>
      </c>
      <c r="N54" s="3">
        <f>Refund_Compliance[[#This Row],[RefundAmount]]/Refund_Compliance[[#This Row],[FareCharged]]</f>
        <v>0.76546883920604691</v>
      </c>
      <c r="O54" t="str">
        <f>IF(Refund_Compliance[[#This Row],[Refund Turnaround Days]]&gt;-14,"SLA Breach","OK")</f>
        <v>OK</v>
      </c>
    </row>
    <row r="55" spans="1:15" x14ac:dyDescent="0.35">
      <c r="A55" s="1" t="s">
        <v>269</v>
      </c>
      <c r="B55" s="1" t="s">
        <v>20</v>
      </c>
      <c r="C55" s="1" t="s">
        <v>25</v>
      </c>
      <c r="D55" s="1" t="s">
        <v>12</v>
      </c>
      <c r="E55">
        <v>452</v>
      </c>
      <c r="F55">
        <v>190</v>
      </c>
      <c r="G55" s="1" t="s">
        <v>13</v>
      </c>
      <c r="H55" s="1" t="s">
        <v>33</v>
      </c>
      <c r="I55" s="2">
        <v>45713</v>
      </c>
      <c r="J55">
        <v>360.49975852868403</v>
      </c>
      <c r="K55" s="2">
        <v>45729</v>
      </c>
      <c r="L55" s="1" t="s">
        <v>533</v>
      </c>
      <c r="M55">
        <f>Refund_Compliance[[#This Row],[SaleDate]]-Refund_Compliance[[#This Row],[RefundDate]]</f>
        <v>-16</v>
      </c>
      <c r="N55" s="3">
        <f>Refund_Compliance[[#This Row],[RefundAmount]]/Refund_Compliance[[#This Row],[FareCharged]]</f>
        <v>0.79756583745284082</v>
      </c>
      <c r="O55" t="str">
        <f>IF(Refund_Compliance[[#This Row],[Refund Turnaround Days]]&gt;-14,"SLA Breach","OK")</f>
        <v>OK</v>
      </c>
    </row>
    <row r="56" spans="1:15" x14ac:dyDescent="0.35">
      <c r="A56" s="1" t="s">
        <v>270</v>
      </c>
      <c r="B56" s="1" t="s">
        <v>48</v>
      </c>
      <c r="C56" s="1" t="s">
        <v>11</v>
      </c>
      <c r="D56" s="1" t="s">
        <v>12</v>
      </c>
      <c r="E56">
        <v>1018</v>
      </c>
      <c r="F56">
        <v>167</v>
      </c>
      <c r="G56" s="1" t="s">
        <v>13</v>
      </c>
      <c r="H56" s="1" t="s">
        <v>18</v>
      </c>
      <c r="I56" s="2">
        <v>45664</v>
      </c>
      <c r="J56">
        <v>514.05122495406829</v>
      </c>
      <c r="K56" s="2">
        <v>45709</v>
      </c>
      <c r="L56" s="1" t="s">
        <v>531</v>
      </c>
      <c r="M56">
        <f>Refund_Compliance[[#This Row],[SaleDate]]-Refund_Compliance[[#This Row],[RefundDate]]</f>
        <v>-45</v>
      </c>
      <c r="N56" s="3">
        <f>Refund_Compliance[[#This Row],[RefundAmount]]/Refund_Compliance[[#This Row],[FareCharged]]</f>
        <v>0.50496191056391782</v>
      </c>
      <c r="O56" t="str">
        <f>IF(Refund_Compliance[[#This Row],[Refund Turnaround Days]]&gt;-14,"SLA Breach","OK")</f>
        <v>OK</v>
      </c>
    </row>
    <row r="57" spans="1:15" x14ac:dyDescent="0.35">
      <c r="A57" s="1" t="s">
        <v>271</v>
      </c>
      <c r="B57" s="1" t="s">
        <v>48</v>
      </c>
      <c r="C57" s="1" t="s">
        <v>32</v>
      </c>
      <c r="D57" s="1" t="s">
        <v>12</v>
      </c>
      <c r="E57">
        <v>233</v>
      </c>
      <c r="F57">
        <v>326</v>
      </c>
      <c r="G57" s="1" t="s">
        <v>13</v>
      </c>
      <c r="H57" s="1" t="s">
        <v>18</v>
      </c>
      <c r="I57" s="2">
        <v>45774</v>
      </c>
      <c r="J57">
        <v>170.5670860763332</v>
      </c>
      <c r="K57" s="2">
        <v>45791</v>
      </c>
      <c r="L57" s="1" t="s">
        <v>532</v>
      </c>
      <c r="M57">
        <f>Refund_Compliance[[#This Row],[SaleDate]]-Refund_Compliance[[#This Row],[RefundDate]]</f>
        <v>-17</v>
      </c>
      <c r="N57" s="3">
        <f>Refund_Compliance[[#This Row],[RefundAmount]]/Refund_Compliance[[#This Row],[FareCharged]]</f>
        <v>0.73204757972675194</v>
      </c>
      <c r="O57" t="str">
        <f>IF(Refund_Compliance[[#This Row],[Refund Turnaround Days]]&gt;-14,"SLA Breach","OK")</f>
        <v>OK</v>
      </c>
    </row>
    <row r="58" spans="1:15" x14ac:dyDescent="0.35">
      <c r="A58" s="1" t="s">
        <v>272</v>
      </c>
      <c r="B58" s="1" t="s">
        <v>10</v>
      </c>
      <c r="C58" s="1" t="s">
        <v>17</v>
      </c>
      <c r="D58" s="1" t="s">
        <v>51</v>
      </c>
      <c r="E58">
        <v>1947</v>
      </c>
      <c r="F58">
        <v>263</v>
      </c>
      <c r="G58" s="1" t="s">
        <v>13</v>
      </c>
      <c r="H58" s="1" t="s">
        <v>33</v>
      </c>
      <c r="I58" s="2">
        <v>45661</v>
      </c>
      <c r="J58">
        <v>1911.4665110040671</v>
      </c>
      <c r="K58" s="2">
        <v>45664</v>
      </c>
      <c r="L58" s="1" t="s">
        <v>533</v>
      </c>
      <c r="M58">
        <f>Refund_Compliance[[#This Row],[SaleDate]]-Refund_Compliance[[#This Row],[RefundDate]]</f>
        <v>-3</v>
      </c>
      <c r="N58" s="3">
        <f>Refund_Compliance[[#This Row],[RefundAmount]]/Refund_Compliance[[#This Row],[FareCharged]]</f>
        <v>0.9817496204437941</v>
      </c>
      <c r="O58" t="str">
        <f>IF(Refund_Compliance[[#This Row],[Refund Turnaround Days]]&gt;-14,"SLA Breach","OK")</f>
        <v>SLA Breach</v>
      </c>
    </row>
    <row r="59" spans="1:15" x14ac:dyDescent="0.35">
      <c r="A59" s="1" t="s">
        <v>284</v>
      </c>
      <c r="B59" s="1" t="s">
        <v>20</v>
      </c>
      <c r="C59" s="1" t="s">
        <v>32</v>
      </c>
      <c r="D59" s="1" t="s">
        <v>12</v>
      </c>
      <c r="E59">
        <v>942</v>
      </c>
      <c r="F59">
        <v>98</v>
      </c>
      <c r="G59" s="1" t="s">
        <v>13</v>
      </c>
      <c r="H59" s="1" t="s">
        <v>18</v>
      </c>
      <c r="I59" s="2">
        <v>45686</v>
      </c>
      <c r="J59">
        <v>715.46420394101744</v>
      </c>
      <c r="K59" s="2">
        <v>45729</v>
      </c>
      <c r="L59" s="1" t="s">
        <v>533</v>
      </c>
      <c r="M59">
        <f>Refund_Compliance[[#This Row],[SaleDate]]-Refund_Compliance[[#This Row],[RefundDate]]</f>
        <v>-43</v>
      </c>
      <c r="N59" s="3">
        <f>Refund_Compliance[[#This Row],[RefundAmount]]/Refund_Compliance[[#This Row],[FareCharged]]</f>
        <v>0.7595161400647743</v>
      </c>
      <c r="O59" t="str">
        <f>IF(Refund_Compliance[[#This Row],[Refund Turnaround Days]]&gt;-14,"SLA Breach","OK")</f>
        <v>OK</v>
      </c>
    </row>
    <row r="60" spans="1:15" x14ac:dyDescent="0.35">
      <c r="A60" s="1" t="s">
        <v>298</v>
      </c>
      <c r="B60" s="1" t="s">
        <v>20</v>
      </c>
      <c r="C60" s="1" t="s">
        <v>25</v>
      </c>
      <c r="D60" s="1" t="s">
        <v>12</v>
      </c>
      <c r="E60">
        <v>1482</v>
      </c>
      <c r="F60">
        <v>213</v>
      </c>
      <c r="G60" s="1" t="s">
        <v>13</v>
      </c>
      <c r="H60" s="1" t="s">
        <v>18</v>
      </c>
      <c r="I60" s="2">
        <v>45702</v>
      </c>
      <c r="J60">
        <v>1243.0588201870842</v>
      </c>
      <c r="K60" s="2">
        <v>45742</v>
      </c>
      <c r="L60" s="1" t="s">
        <v>534</v>
      </c>
      <c r="M60">
        <f>Refund_Compliance[[#This Row],[SaleDate]]-Refund_Compliance[[#This Row],[RefundDate]]</f>
        <v>-40</v>
      </c>
      <c r="N60" s="3">
        <f>Refund_Compliance[[#This Row],[RefundAmount]]/Refund_Compliance[[#This Row],[FareCharged]]</f>
        <v>0.83877113372947654</v>
      </c>
      <c r="O60" t="str">
        <f>IF(Refund_Compliance[[#This Row],[Refund Turnaround Days]]&gt;-14,"SLA Breach","OK")</f>
        <v>OK</v>
      </c>
    </row>
    <row r="61" spans="1:15" x14ac:dyDescent="0.35">
      <c r="A61" s="1" t="s">
        <v>305</v>
      </c>
      <c r="B61" s="1" t="s">
        <v>27</v>
      </c>
      <c r="C61" s="1" t="s">
        <v>11</v>
      </c>
      <c r="D61" s="1" t="s">
        <v>51</v>
      </c>
      <c r="E61">
        <v>536</v>
      </c>
      <c r="F61">
        <v>210</v>
      </c>
      <c r="G61" s="1" t="s">
        <v>13</v>
      </c>
      <c r="H61" s="1" t="s">
        <v>18</v>
      </c>
      <c r="I61" s="2">
        <v>45676</v>
      </c>
      <c r="J61">
        <v>351.5795139217247</v>
      </c>
      <c r="K61" s="2">
        <v>45698</v>
      </c>
      <c r="L61" s="1" t="s">
        <v>533</v>
      </c>
      <c r="M61">
        <f>Refund_Compliance[[#This Row],[SaleDate]]-Refund_Compliance[[#This Row],[RefundDate]]</f>
        <v>-22</v>
      </c>
      <c r="N61" s="3">
        <f>Refund_Compliance[[#This Row],[RefundAmount]]/Refund_Compliance[[#This Row],[FareCharged]]</f>
        <v>0.65593192895844155</v>
      </c>
      <c r="O61" t="str">
        <f>IF(Refund_Compliance[[#This Row],[Refund Turnaround Days]]&gt;-14,"SLA Breach","OK")</f>
        <v>OK</v>
      </c>
    </row>
    <row r="62" spans="1:15" x14ac:dyDescent="0.35">
      <c r="A62" s="1" t="s">
        <v>312</v>
      </c>
      <c r="B62" s="1" t="s">
        <v>48</v>
      </c>
      <c r="C62" s="1" t="s">
        <v>17</v>
      </c>
      <c r="D62" s="1" t="s">
        <v>21</v>
      </c>
      <c r="E62">
        <v>1065</v>
      </c>
      <c r="F62">
        <v>60</v>
      </c>
      <c r="G62" s="1" t="s">
        <v>13</v>
      </c>
      <c r="H62" s="1" t="s">
        <v>14</v>
      </c>
      <c r="I62" s="2">
        <v>45764</v>
      </c>
      <c r="J62">
        <v>944.65040886634608</v>
      </c>
      <c r="K62" s="2">
        <v>45797</v>
      </c>
      <c r="L62" s="1" t="s">
        <v>533</v>
      </c>
      <c r="M62">
        <f>Refund_Compliance[[#This Row],[SaleDate]]-Refund_Compliance[[#This Row],[RefundDate]]</f>
        <v>-33</v>
      </c>
      <c r="N62" s="3">
        <f>Refund_Compliance[[#This Row],[RefundAmount]]/Refund_Compliance[[#This Row],[FareCharged]]</f>
        <v>0.88699568907638127</v>
      </c>
      <c r="O62" t="str">
        <f>IF(Refund_Compliance[[#This Row],[Refund Turnaround Days]]&gt;-14,"SLA Breach","OK")</f>
        <v>OK</v>
      </c>
    </row>
    <row r="63" spans="1:15" x14ac:dyDescent="0.35">
      <c r="A63" s="1" t="s">
        <v>315</v>
      </c>
      <c r="B63" s="1" t="s">
        <v>20</v>
      </c>
      <c r="C63" s="1" t="s">
        <v>25</v>
      </c>
      <c r="D63" s="1" t="s">
        <v>12</v>
      </c>
      <c r="E63">
        <v>1326</v>
      </c>
      <c r="F63">
        <v>126</v>
      </c>
      <c r="G63" s="1" t="s">
        <v>13</v>
      </c>
      <c r="H63" s="1" t="s">
        <v>23</v>
      </c>
      <c r="I63" s="2">
        <v>45662</v>
      </c>
      <c r="J63">
        <v>1175.4469424838644</v>
      </c>
      <c r="K63" s="2">
        <v>45665</v>
      </c>
      <c r="L63" s="1" t="s">
        <v>533</v>
      </c>
      <c r="M63">
        <f>Refund_Compliance[[#This Row],[SaleDate]]-Refund_Compliance[[#This Row],[RefundDate]]</f>
        <v>-3</v>
      </c>
      <c r="N63" s="3">
        <f>Refund_Compliance[[#This Row],[RefundAmount]]/Refund_Compliance[[#This Row],[FareCharged]]</f>
        <v>0.8864607409380576</v>
      </c>
      <c r="O63" t="str">
        <f>IF(Refund_Compliance[[#This Row],[Refund Turnaround Days]]&gt;-14,"SLA Breach","OK")</f>
        <v>SLA Breach</v>
      </c>
    </row>
    <row r="64" spans="1:15" x14ac:dyDescent="0.35">
      <c r="A64" s="1" t="s">
        <v>317</v>
      </c>
      <c r="B64" s="1" t="s">
        <v>10</v>
      </c>
      <c r="C64" s="1" t="s">
        <v>25</v>
      </c>
      <c r="D64" s="1" t="s">
        <v>12</v>
      </c>
      <c r="E64">
        <v>355</v>
      </c>
      <c r="F64">
        <v>307</v>
      </c>
      <c r="G64" s="1" t="s">
        <v>13</v>
      </c>
      <c r="H64" s="1" t="s">
        <v>23</v>
      </c>
      <c r="I64" s="2">
        <v>45665</v>
      </c>
      <c r="J64">
        <v>270.03004845860966</v>
      </c>
      <c r="K64" s="2">
        <v>45695</v>
      </c>
      <c r="L64" s="1" t="s">
        <v>533</v>
      </c>
      <c r="M64">
        <f>Refund_Compliance[[#This Row],[SaleDate]]-Refund_Compliance[[#This Row],[RefundDate]]</f>
        <v>-30</v>
      </c>
      <c r="N64" s="3">
        <f>Refund_Compliance[[#This Row],[RefundAmount]]/Refund_Compliance[[#This Row],[FareCharged]]</f>
        <v>0.76064802382706942</v>
      </c>
      <c r="O64" t="str">
        <f>IF(Refund_Compliance[[#This Row],[Refund Turnaround Days]]&gt;-14,"SLA Breach","OK")</f>
        <v>OK</v>
      </c>
    </row>
    <row r="65" spans="1:15" x14ac:dyDescent="0.35">
      <c r="A65" s="1" t="s">
        <v>319</v>
      </c>
      <c r="B65" s="1" t="s">
        <v>48</v>
      </c>
      <c r="C65" s="1" t="s">
        <v>17</v>
      </c>
      <c r="D65" s="1" t="s">
        <v>12</v>
      </c>
      <c r="E65">
        <v>1446</v>
      </c>
      <c r="F65">
        <v>340</v>
      </c>
      <c r="G65" s="1" t="s">
        <v>13</v>
      </c>
      <c r="H65" s="1" t="s">
        <v>14</v>
      </c>
      <c r="I65" s="2">
        <v>45735</v>
      </c>
      <c r="J65">
        <v>1428.6579942308715</v>
      </c>
      <c r="K65" s="2">
        <v>45755</v>
      </c>
      <c r="L65" s="1" t="s">
        <v>534</v>
      </c>
      <c r="M65">
        <f>Refund_Compliance[[#This Row],[SaleDate]]-Refund_Compliance[[#This Row],[RefundDate]]</f>
        <v>-20</v>
      </c>
      <c r="N65" s="3">
        <f>Refund_Compliance[[#This Row],[RefundAmount]]/Refund_Compliance[[#This Row],[FareCharged]]</f>
        <v>0.98800691163960686</v>
      </c>
      <c r="O65" t="str">
        <f>IF(Refund_Compliance[[#This Row],[Refund Turnaround Days]]&gt;-14,"SLA Breach","OK")</f>
        <v>OK</v>
      </c>
    </row>
    <row r="66" spans="1:15" x14ac:dyDescent="0.35">
      <c r="A66" s="1" t="s">
        <v>321</v>
      </c>
      <c r="B66" s="1" t="s">
        <v>20</v>
      </c>
      <c r="C66" s="1" t="s">
        <v>32</v>
      </c>
      <c r="D66" s="1" t="s">
        <v>12</v>
      </c>
      <c r="E66">
        <v>1913</v>
      </c>
      <c r="F66">
        <v>134</v>
      </c>
      <c r="G66" s="1" t="s">
        <v>13</v>
      </c>
      <c r="H66" s="1" t="s">
        <v>23</v>
      </c>
      <c r="I66" s="2">
        <v>45739</v>
      </c>
      <c r="J66">
        <v>1076.5887804204781</v>
      </c>
      <c r="K66" s="2">
        <v>45756</v>
      </c>
      <c r="L66" s="1" t="s">
        <v>531</v>
      </c>
      <c r="M66">
        <f>Refund_Compliance[[#This Row],[SaleDate]]-Refund_Compliance[[#This Row],[RefundDate]]</f>
        <v>-17</v>
      </c>
      <c r="N66" s="3">
        <f>Refund_Compliance[[#This Row],[RefundAmount]]/Refund_Compliance[[#This Row],[FareCharged]]</f>
        <v>0.56277510738132674</v>
      </c>
      <c r="O66" t="str">
        <f>IF(Refund_Compliance[[#This Row],[Refund Turnaround Days]]&gt;-14,"SLA Breach","OK")</f>
        <v>OK</v>
      </c>
    </row>
    <row r="67" spans="1:15" x14ac:dyDescent="0.35">
      <c r="A67" s="1" t="s">
        <v>322</v>
      </c>
      <c r="B67" s="1" t="s">
        <v>48</v>
      </c>
      <c r="C67" s="1" t="s">
        <v>32</v>
      </c>
      <c r="D67" s="1" t="s">
        <v>12</v>
      </c>
      <c r="E67">
        <v>670</v>
      </c>
      <c r="F67">
        <v>195</v>
      </c>
      <c r="G67" s="1" t="s">
        <v>13</v>
      </c>
      <c r="H67" s="1" t="s">
        <v>14</v>
      </c>
      <c r="I67" s="2">
        <v>45665</v>
      </c>
      <c r="J67">
        <v>340.67746773800963</v>
      </c>
      <c r="K67" s="2">
        <v>45694</v>
      </c>
      <c r="L67" s="1" t="s">
        <v>531</v>
      </c>
      <c r="M67">
        <f>Refund_Compliance[[#This Row],[SaleDate]]-Refund_Compliance[[#This Row],[RefundDate]]</f>
        <v>-29</v>
      </c>
      <c r="N67" s="3">
        <f>Refund_Compliance[[#This Row],[RefundAmount]]/Refund_Compliance[[#This Row],[FareCharged]]</f>
        <v>0.5084738324447905</v>
      </c>
      <c r="O67" t="str">
        <f>IF(Refund_Compliance[[#This Row],[Refund Turnaround Days]]&gt;-14,"SLA Breach","OK")</f>
        <v>OK</v>
      </c>
    </row>
    <row r="68" spans="1:15" x14ac:dyDescent="0.35">
      <c r="A68" s="1" t="s">
        <v>324</v>
      </c>
      <c r="B68" s="1" t="s">
        <v>37</v>
      </c>
      <c r="C68" s="1" t="s">
        <v>32</v>
      </c>
      <c r="D68" s="1" t="s">
        <v>12</v>
      </c>
      <c r="E68">
        <v>1166</v>
      </c>
      <c r="F68">
        <v>91</v>
      </c>
      <c r="G68" s="1" t="s">
        <v>13</v>
      </c>
      <c r="H68" s="1" t="s">
        <v>14</v>
      </c>
      <c r="I68" s="2">
        <v>45725</v>
      </c>
      <c r="J68">
        <v>1032.0022374543871</v>
      </c>
      <c r="K68" s="2">
        <v>45759</v>
      </c>
      <c r="L68" s="1" t="s">
        <v>532</v>
      </c>
      <c r="M68">
        <f>Refund_Compliance[[#This Row],[SaleDate]]-Refund_Compliance[[#This Row],[RefundDate]]</f>
        <v>-34</v>
      </c>
      <c r="N68" s="3">
        <f>Refund_Compliance[[#This Row],[RefundAmount]]/Refund_Compliance[[#This Row],[FareCharged]]</f>
        <v>0.8850791058785481</v>
      </c>
      <c r="O68" t="str">
        <f>IF(Refund_Compliance[[#This Row],[Refund Turnaround Days]]&gt;-14,"SLA Breach","OK")</f>
        <v>OK</v>
      </c>
    </row>
    <row r="69" spans="1:15" x14ac:dyDescent="0.35">
      <c r="A69" s="1" t="s">
        <v>332</v>
      </c>
      <c r="B69" s="1" t="s">
        <v>16</v>
      </c>
      <c r="C69" s="1" t="s">
        <v>17</v>
      </c>
      <c r="D69" s="1" t="s">
        <v>12</v>
      </c>
      <c r="E69">
        <v>733</v>
      </c>
      <c r="F69">
        <v>117</v>
      </c>
      <c r="G69" s="1" t="s">
        <v>13</v>
      </c>
      <c r="H69" s="1" t="s">
        <v>14</v>
      </c>
      <c r="I69" s="2">
        <v>45682</v>
      </c>
      <c r="J69">
        <v>662.32250444422948</v>
      </c>
      <c r="K69" s="2">
        <v>45704</v>
      </c>
      <c r="L69" s="1" t="s">
        <v>533</v>
      </c>
      <c r="M69">
        <f>Refund_Compliance[[#This Row],[SaleDate]]-Refund_Compliance[[#This Row],[RefundDate]]</f>
        <v>-22</v>
      </c>
      <c r="N69" s="3">
        <f>Refund_Compliance[[#This Row],[RefundAmount]]/Refund_Compliance[[#This Row],[FareCharged]]</f>
        <v>0.90357776868244133</v>
      </c>
      <c r="O69" t="str">
        <f>IF(Refund_Compliance[[#This Row],[Refund Turnaround Days]]&gt;-14,"SLA Breach","OK")</f>
        <v>OK</v>
      </c>
    </row>
    <row r="70" spans="1:15" x14ac:dyDescent="0.35">
      <c r="A70" s="1" t="s">
        <v>333</v>
      </c>
      <c r="B70" s="1" t="s">
        <v>27</v>
      </c>
      <c r="C70" s="1" t="s">
        <v>32</v>
      </c>
      <c r="D70" s="1" t="s">
        <v>21</v>
      </c>
      <c r="E70">
        <v>544</v>
      </c>
      <c r="F70">
        <v>267</v>
      </c>
      <c r="G70" s="1" t="s">
        <v>13</v>
      </c>
      <c r="H70" s="1" t="s">
        <v>18</v>
      </c>
      <c r="I70" s="2">
        <v>45771</v>
      </c>
      <c r="J70">
        <v>304.69636632079676</v>
      </c>
      <c r="K70" s="2">
        <v>45798</v>
      </c>
      <c r="L70" s="1" t="s">
        <v>534</v>
      </c>
      <c r="M70">
        <f>Refund_Compliance[[#This Row],[SaleDate]]-Refund_Compliance[[#This Row],[RefundDate]]</f>
        <v>-27</v>
      </c>
      <c r="N70" s="3">
        <f>Refund_Compliance[[#This Row],[RefundAmount]]/Refund_Compliance[[#This Row],[FareCharged]]</f>
        <v>0.56010361456028812</v>
      </c>
      <c r="O70" t="str">
        <f>IF(Refund_Compliance[[#This Row],[Refund Turnaround Days]]&gt;-14,"SLA Breach","OK")</f>
        <v>OK</v>
      </c>
    </row>
    <row r="71" spans="1:15" x14ac:dyDescent="0.35">
      <c r="A71" s="1" t="s">
        <v>341</v>
      </c>
      <c r="B71" s="1" t="s">
        <v>10</v>
      </c>
      <c r="C71" s="1" t="s">
        <v>32</v>
      </c>
      <c r="D71" s="1" t="s">
        <v>21</v>
      </c>
      <c r="E71">
        <v>487</v>
      </c>
      <c r="F71">
        <v>278</v>
      </c>
      <c r="G71" s="1" t="s">
        <v>13</v>
      </c>
      <c r="H71" s="1" t="s">
        <v>33</v>
      </c>
      <c r="I71" s="2">
        <v>45730</v>
      </c>
      <c r="J71">
        <v>308.16941982542056</v>
      </c>
      <c r="K71" s="2">
        <v>45755</v>
      </c>
      <c r="L71" s="1" t="s">
        <v>532</v>
      </c>
      <c r="M71">
        <f>Refund_Compliance[[#This Row],[SaleDate]]-Refund_Compliance[[#This Row],[RefundDate]]</f>
        <v>-25</v>
      </c>
      <c r="N71" s="3">
        <f>Refund_Compliance[[#This Row],[RefundAmount]]/Refund_Compliance[[#This Row],[FareCharged]]</f>
        <v>0.63279141647930304</v>
      </c>
      <c r="O71" t="str">
        <f>IF(Refund_Compliance[[#This Row],[Refund Turnaround Days]]&gt;-14,"SLA Breach","OK")</f>
        <v>OK</v>
      </c>
    </row>
    <row r="72" spans="1:15" x14ac:dyDescent="0.35">
      <c r="A72" s="1" t="s">
        <v>350</v>
      </c>
      <c r="B72" s="1" t="s">
        <v>48</v>
      </c>
      <c r="C72" s="1" t="s">
        <v>32</v>
      </c>
      <c r="D72" s="1" t="s">
        <v>12</v>
      </c>
      <c r="E72">
        <v>950</v>
      </c>
      <c r="F72">
        <v>179</v>
      </c>
      <c r="G72" s="1" t="s">
        <v>13</v>
      </c>
      <c r="H72" s="1" t="s">
        <v>42</v>
      </c>
      <c r="I72" s="2">
        <v>45728</v>
      </c>
      <c r="J72">
        <v>483.33737259914881</v>
      </c>
      <c r="K72" s="2">
        <v>45750</v>
      </c>
      <c r="L72" s="1" t="s">
        <v>532</v>
      </c>
      <c r="M72">
        <f>Refund_Compliance[[#This Row],[SaleDate]]-Refund_Compliance[[#This Row],[RefundDate]]</f>
        <v>-22</v>
      </c>
      <c r="N72" s="3">
        <f>Refund_Compliance[[#This Row],[RefundAmount]]/Refund_Compliance[[#This Row],[FareCharged]]</f>
        <v>0.50877618168331451</v>
      </c>
      <c r="O72" t="str">
        <f>IF(Refund_Compliance[[#This Row],[Refund Turnaround Days]]&gt;-14,"SLA Breach","OK")</f>
        <v>OK</v>
      </c>
    </row>
    <row r="73" spans="1:15" x14ac:dyDescent="0.35">
      <c r="A73" s="1" t="s">
        <v>351</v>
      </c>
      <c r="B73" s="1" t="s">
        <v>10</v>
      </c>
      <c r="C73" s="1" t="s">
        <v>11</v>
      </c>
      <c r="D73" s="1" t="s">
        <v>12</v>
      </c>
      <c r="E73">
        <v>251</v>
      </c>
      <c r="F73">
        <v>54</v>
      </c>
      <c r="G73" s="1" t="s">
        <v>13</v>
      </c>
      <c r="H73" s="1" t="s">
        <v>18</v>
      </c>
      <c r="I73" s="2">
        <v>45703</v>
      </c>
      <c r="J73">
        <v>162.31023065296088</v>
      </c>
      <c r="K73" s="2">
        <v>45712</v>
      </c>
      <c r="L73" s="1" t="s">
        <v>531</v>
      </c>
      <c r="M73">
        <f>Refund_Compliance[[#This Row],[SaleDate]]-Refund_Compliance[[#This Row],[RefundDate]]</f>
        <v>-9</v>
      </c>
      <c r="N73" s="3">
        <f>Refund_Compliance[[#This Row],[RefundAmount]]/Refund_Compliance[[#This Row],[FareCharged]]</f>
        <v>0.64665430539028235</v>
      </c>
      <c r="O73" t="str">
        <f>IF(Refund_Compliance[[#This Row],[Refund Turnaround Days]]&gt;-14,"SLA Breach","OK")</f>
        <v>SLA Breach</v>
      </c>
    </row>
    <row r="74" spans="1:15" x14ac:dyDescent="0.35">
      <c r="A74" s="1" t="s">
        <v>361</v>
      </c>
      <c r="B74" s="1" t="s">
        <v>20</v>
      </c>
      <c r="C74" s="1" t="s">
        <v>25</v>
      </c>
      <c r="D74" s="1" t="s">
        <v>12</v>
      </c>
      <c r="E74">
        <v>1038</v>
      </c>
      <c r="F74">
        <v>107</v>
      </c>
      <c r="G74" s="1" t="s">
        <v>13</v>
      </c>
      <c r="H74" s="1" t="s">
        <v>33</v>
      </c>
      <c r="I74" s="2">
        <v>45743</v>
      </c>
      <c r="J74">
        <v>920.26063256379052</v>
      </c>
      <c r="K74" s="2">
        <v>45771</v>
      </c>
      <c r="L74" s="1" t="s">
        <v>534</v>
      </c>
      <c r="M74">
        <f>Refund_Compliance[[#This Row],[SaleDate]]-Refund_Compliance[[#This Row],[RefundDate]]</f>
        <v>-28</v>
      </c>
      <c r="N74" s="3">
        <f>Refund_Compliance[[#This Row],[RefundAmount]]/Refund_Compliance[[#This Row],[FareCharged]]</f>
        <v>0.88657093695933575</v>
      </c>
      <c r="O74" t="str">
        <f>IF(Refund_Compliance[[#This Row],[Refund Turnaround Days]]&gt;-14,"SLA Breach","OK")</f>
        <v>OK</v>
      </c>
    </row>
    <row r="75" spans="1:15" x14ac:dyDescent="0.35">
      <c r="A75" s="1" t="s">
        <v>362</v>
      </c>
      <c r="B75" s="1" t="s">
        <v>37</v>
      </c>
      <c r="C75" s="1" t="s">
        <v>32</v>
      </c>
      <c r="D75" s="1" t="s">
        <v>12</v>
      </c>
      <c r="E75">
        <v>1219</v>
      </c>
      <c r="F75">
        <v>308</v>
      </c>
      <c r="G75" s="1" t="s">
        <v>13</v>
      </c>
      <c r="H75" s="1" t="s">
        <v>42</v>
      </c>
      <c r="I75" s="2">
        <v>45743</v>
      </c>
      <c r="J75">
        <v>925.19694164081682</v>
      </c>
      <c r="K75" s="2">
        <v>45786</v>
      </c>
      <c r="L75" s="1" t="s">
        <v>534</v>
      </c>
      <c r="M75">
        <f>Refund_Compliance[[#This Row],[SaleDate]]-Refund_Compliance[[#This Row],[RefundDate]]</f>
        <v>-43</v>
      </c>
      <c r="N75" s="3">
        <f>Refund_Compliance[[#This Row],[RefundAmount]]/Refund_Compliance[[#This Row],[FareCharged]]</f>
        <v>0.75898026385628947</v>
      </c>
      <c r="O75" t="str">
        <f>IF(Refund_Compliance[[#This Row],[Refund Turnaround Days]]&gt;-14,"SLA Breach","OK")</f>
        <v>OK</v>
      </c>
    </row>
    <row r="76" spans="1:15" x14ac:dyDescent="0.35">
      <c r="A76" s="1" t="s">
        <v>365</v>
      </c>
      <c r="B76" s="1" t="s">
        <v>27</v>
      </c>
      <c r="C76" s="1" t="s">
        <v>11</v>
      </c>
      <c r="D76" s="1" t="s">
        <v>12</v>
      </c>
      <c r="E76">
        <v>741</v>
      </c>
      <c r="F76">
        <v>179</v>
      </c>
      <c r="G76" s="1" t="s">
        <v>13</v>
      </c>
      <c r="H76" s="1" t="s">
        <v>42</v>
      </c>
      <c r="I76" s="2">
        <v>45660</v>
      </c>
      <c r="J76">
        <v>499.46941726885075</v>
      </c>
      <c r="K76" s="2">
        <v>45685</v>
      </c>
      <c r="L76" s="1" t="s">
        <v>534</v>
      </c>
      <c r="M76">
        <f>Refund_Compliance[[#This Row],[SaleDate]]-Refund_Compliance[[#This Row],[RefundDate]]</f>
        <v>-25</v>
      </c>
      <c r="N76" s="3">
        <f>Refund_Compliance[[#This Row],[RefundAmount]]/Refund_Compliance[[#This Row],[FareCharged]]</f>
        <v>0.67404779658414404</v>
      </c>
      <c r="O76" t="str">
        <f>IF(Refund_Compliance[[#This Row],[Refund Turnaround Days]]&gt;-14,"SLA Breach","OK")</f>
        <v>OK</v>
      </c>
    </row>
    <row r="77" spans="1:15" x14ac:dyDescent="0.35">
      <c r="A77" s="1" t="s">
        <v>367</v>
      </c>
      <c r="B77" s="1" t="s">
        <v>37</v>
      </c>
      <c r="C77" s="1" t="s">
        <v>17</v>
      </c>
      <c r="D77" s="1" t="s">
        <v>21</v>
      </c>
      <c r="E77">
        <v>1259</v>
      </c>
      <c r="F77">
        <v>221</v>
      </c>
      <c r="G77" s="1" t="s">
        <v>13</v>
      </c>
      <c r="H77" s="1" t="s">
        <v>18</v>
      </c>
      <c r="I77" s="2">
        <v>45737</v>
      </c>
      <c r="J77">
        <v>863.50988614353491</v>
      </c>
      <c r="K77" s="2">
        <v>45779</v>
      </c>
      <c r="L77" s="1" t="s">
        <v>531</v>
      </c>
      <c r="M77">
        <f>Refund_Compliance[[#This Row],[SaleDate]]-Refund_Compliance[[#This Row],[RefundDate]]</f>
        <v>-42</v>
      </c>
      <c r="N77" s="3">
        <f>Refund_Compliance[[#This Row],[RefundAmount]]/Refund_Compliance[[#This Row],[FareCharged]]</f>
        <v>0.68586964745316514</v>
      </c>
      <c r="O77" t="str">
        <f>IF(Refund_Compliance[[#This Row],[Refund Turnaround Days]]&gt;-14,"SLA Breach","OK")</f>
        <v>OK</v>
      </c>
    </row>
    <row r="78" spans="1:15" x14ac:dyDescent="0.35">
      <c r="A78" s="1" t="s">
        <v>369</v>
      </c>
      <c r="B78" s="1" t="s">
        <v>10</v>
      </c>
      <c r="C78" s="1" t="s">
        <v>17</v>
      </c>
      <c r="D78" s="1" t="s">
        <v>12</v>
      </c>
      <c r="E78">
        <v>1833</v>
      </c>
      <c r="F78">
        <v>151</v>
      </c>
      <c r="G78" s="1" t="s">
        <v>13</v>
      </c>
      <c r="H78" s="1" t="s">
        <v>18</v>
      </c>
      <c r="I78" s="2">
        <v>45736</v>
      </c>
      <c r="J78">
        <v>917.74059796822667</v>
      </c>
      <c r="K78" s="2">
        <v>45750</v>
      </c>
      <c r="L78" s="1" t="s">
        <v>531</v>
      </c>
      <c r="M78">
        <f>Refund_Compliance[[#This Row],[SaleDate]]-Refund_Compliance[[#This Row],[RefundDate]]</f>
        <v>-14</v>
      </c>
      <c r="N78" s="3">
        <f>Refund_Compliance[[#This Row],[RefundAmount]]/Refund_Compliance[[#This Row],[FareCharged]]</f>
        <v>0.50067681285773413</v>
      </c>
      <c r="O78" t="str">
        <f>IF(Refund_Compliance[[#This Row],[Refund Turnaround Days]]&gt;-14,"SLA Breach","OK")</f>
        <v>OK</v>
      </c>
    </row>
    <row r="79" spans="1:15" x14ac:dyDescent="0.35">
      <c r="A79" s="1" t="s">
        <v>371</v>
      </c>
      <c r="B79" s="1" t="s">
        <v>16</v>
      </c>
      <c r="C79" s="1" t="s">
        <v>25</v>
      </c>
      <c r="D79" s="1" t="s">
        <v>12</v>
      </c>
      <c r="E79">
        <v>863</v>
      </c>
      <c r="F79">
        <v>340</v>
      </c>
      <c r="G79" s="1" t="s">
        <v>13</v>
      </c>
      <c r="H79" s="1" t="s">
        <v>33</v>
      </c>
      <c r="I79" s="2">
        <v>45762</v>
      </c>
      <c r="J79">
        <v>560.86392764439927</v>
      </c>
      <c r="K79" s="2">
        <v>45775</v>
      </c>
      <c r="L79" s="1" t="s">
        <v>531</v>
      </c>
      <c r="M79">
        <f>Refund_Compliance[[#This Row],[SaleDate]]-Refund_Compliance[[#This Row],[RefundDate]]</f>
        <v>-13</v>
      </c>
      <c r="N79" s="3">
        <f>Refund_Compliance[[#This Row],[RefundAmount]]/Refund_Compliance[[#This Row],[FareCharged]]</f>
        <v>0.64990026378261789</v>
      </c>
      <c r="O79" t="str">
        <f>IF(Refund_Compliance[[#This Row],[Refund Turnaround Days]]&gt;-14,"SLA Breach","OK")</f>
        <v>SLA Breach</v>
      </c>
    </row>
    <row r="80" spans="1:15" x14ac:dyDescent="0.35">
      <c r="A80" s="1" t="s">
        <v>372</v>
      </c>
      <c r="B80" s="1" t="s">
        <v>10</v>
      </c>
      <c r="C80" s="1" t="s">
        <v>11</v>
      </c>
      <c r="D80" s="1" t="s">
        <v>12</v>
      </c>
      <c r="E80">
        <v>1085</v>
      </c>
      <c r="F80">
        <v>335</v>
      </c>
      <c r="G80" s="1" t="s">
        <v>13</v>
      </c>
      <c r="H80" s="1" t="s">
        <v>23</v>
      </c>
      <c r="I80" s="2">
        <v>45775</v>
      </c>
      <c r="J80">
        <v>893.20386733857731</v>
      </c>
      <c r="K80" s="2">
        <v>45787</v>
      </c>
      <c r="L80" s="1" t="s">
        <v>531</v>
      </c>
      <c r="M80">
        <f>Refund_Compliance[[#This Row],[SaleDate]]-Refund_Compliance[[#This Row],[RefundDate]]</f>
        <v>-12</v>
      </c>
      <c r="N80" s="3">
        <f>Refund_Compliance[[#This Row],[RefundAmount]]/Refund_Compliance[[#This Row],[FareCharged]]</f>
        <v>0.8232293708189653</v>
      </c>
      <c r="O80" t="str">
        <f>IF(Refund_Compliance[[#This Row],[Refund Turnaround Days]]&gt;-14,"SLA Breach","OK")</f>
        <v>SLA Breach</v>
      </c>
    </row>
    <row r="81" spans="1:15" x14ac:dyDescent="0.35">
      <c r="A81" s="1" t="s">
        <v>375</v>
      </c>
      <c r="B81" s="1" t="s">
        <v>10</v>
      </c>
      <c r="C81" s="1" t="s">
        <v>32</v>
      </c>
      <c r="D81" s="1" t="s">
        <v>12</v>
      </c>
      <c r="E81">
        <v>374</v>
      </c>
      <c r="F81">
        <v>199</v>
      </c>
      <c r="G81" s="1" t="s">
        <v>13</v>
      </c>
      <c r="H81" s="1" t="s">
        <v>18</v>
      </c>
      <c r="I81" s="2">
        <v>45668</v>
      </c>
      <c r="J81">
        <v>369.17436099365881</v>
      </c>
      <c r="K81" s="2">
        <v>45683</v>
      </c>
      <c r="L81" s="1" t="s">
        <v>531</v>
      </c>
      <c r="M81">
        <f>Refund_Compliance[[#This Row],[SaleDate]]-Refund_Compliance[[#This Row],[RefundDate]]</f>
        <v>-15</v>
      </c>
      <c r="N81" s="3">
        <f>Refund_Compliance[[#This Row],[RefundAmount]]/Refund_Compliance[[#This Row],[FareCharged]]</f>
        <v>0.98709722190817861</v>
      </c>
      <c r="O81" t="str">
        <f>IF(Refund_Compliance[[#This Row],[Refund Turnaround Days]]&gt;-14,"SLA Breach","OK")</f>
        <v>OK</v>
      </c>
    </row>
    <row r="82" spans="1:15" x14ac:dyDescent="0.35">
      <c r="A82" s="1" t="s">
        <v>377</v>
      </c>
      <c r="B82" s="1" t="s">
        <v>48</v>
      </c>
      <c r="C82" s="1" t="s">
        <v>17</v>
      </c>
      <c r="D82" s="1" t="s">
        <v>12</v>
      </c>
      <c r="E82">
        <v>1918</v>
      </c>
      <c r="F82">
        <v>85</v>
      </c>
      <c r="G82" s="1" t="s">
        <v>13</v>
      </c>
      <c r="H82" s="1" t="s">
        <v>42</v>
      </c>
      <c r="I82" s="2">
        <v>45773</v>
      </c>
      <c r="J82">
        <v>1771.3313330775595</v>
      </c>
      <c r="K82" s="2">
        <v>45777</v>
      </c>
      <c r="L82" s="1" t="s">
        <v>533</v>
      </c>
      <c r="M82">
        <f>Refund_Compliance[[#This Row],[SaleDate]]-Refund_Compliance[[#This Row],[RefundDate]]</f>
        <v>-4</v>
      </c>
      <c r="N82" s="3">
        <f>Refund_Compliance[[#This Row],[RefundAmount]]/Refund_Compliance[[#This Row],[FareCharged]]</f>
        <v>0.92353041349194975</v>
      </c>
      <c r="O82" t="str">
        <f>IF(Refund_Compliance[[#This Row],[Refund Turnaround Days]]&gt;-14,"SLA Breach","OK")</f>
        <v>SLA Breach</v>
      </c>
    </row>
    <row r="83" spans="1:15" x14ac:dyDescent="0.35">
      <c r="A83" s="1" t="s">
        <v>382</v>
      </c>
      <c r="B83" s="1" t="s">
        <v>16</v>
      </c>
      <c r="C83" s="1" t="s">
        <v>11</v>
      </c>
      <c r="D83" s="1" t="s">
        <v>12</v>
      </c>
      <c r="E83">
        <v>1276</v>
      </c>
      <c r="F83">
        <v>257</v>
      </c>
      <c r="G83" s="1" t="s">
        <v>13</v>
      </c>
      <c r="H83" s="1" t="s">
        <v>14</v>
      </c>
      <c r="I83" s="2">
        <v>45740</v>
      </c>
      <c r="J83">
        <v>653.05358744384762</v>
      </c>
      <c r="K83" s="2">
        <v>45785</v>
      </c>
      <c r="L83" s="1" t="s">
        <v>533</v>
      </c>
      <c r="M83">
        <f>Refund_Compliance[[#This Row],[SaleDate]]-Refund_Compliance[[#This Row],[RefundDate]]</f>
        <v>-45</v>
      </c>
      <c r="N83" s="3">
        <f>Refund_Compliance[[#This Row],[RefundAmount]]/Refund_Compliance[[#This Row],[FareCharged]]</f>
        <v>0.51179748232276456</v>
      </c>
      <c r="O83" t="str">
        <f>IF(Refund_Compliance[[#This Row],[Refund Turnaround Days]]&gt;-14,"SLA Breach","OK")</f>
        <v>OK</v>
      </c>
    </row>
    <row r="84" spans="1:15" x14ac:dyDescent="0.35">
      <c r="A84" s="1" t="s">
        <v>387</v>
      </c>
      <c r="B84" s="1" t="s">
        <v>10</v>
      </c>
      <c r="C84" s="1" t="s">
        <v>11</v>
      </c>
      <c r="D84" s="1" t="s">
        <v>12</v>
      </c>
      <c r="E84">
        <v>1859</v>
      </c>
      <c r="F84">
        <v>61</v>
      </c>
      <c r="G84" s="1" t="s">
        <v>13</v>
      </c>
      <c r="H84" s="1" t="s">
        <v>14</v>
      </c>
      <c r="I84" s="2">
        <v>45679</v>
      </c>
      <c r="J84">
        <v>1764.7120820452631</v>
      </c>
      <c r="K84" s="2">
        <v>45691</v>
      </c>
      <c r="L84" s="1" t="s">
        <v>534</v>
      </c>
      <c r="M84">
        <f>Refund_Compliance[[#This Row],[SaleDate]]-Refund_Compliance[[#This Row],[RefundDate]]</f>
        <v>-12</v>
      </c>
      <c r="N84" s="3">
        <f>Refund_Compliance[[#This Row],[RefundAmount]]/Refund_Compliance[[#This Row],[FareCharged]]</f>
        <v>0.94928030233741956</v>
      </c>
      <c r="O84" t="str">
        <f>IF(Refund_Compliance[[#This Row],[Refund Turnaround Days]]&gt;-14,"SLA Breach","OK")</f>
        <v>SLA Breach</v>
      </c>
    </row>
    <row r="85" spans="1:15" x14ac:dyDescent="0.35">
      <c r="A85" s="1" t="s">
        <v>388</v>
      </c>
      <c r="B85" s="1" t="s">
        <v>48</v>
      </c>
      <c r="C85" s="1" t="s">
        <v>17</v>
      </c>
      <c r="D85" s="1" t="s">
        <v>12</v>
      </c>
      <c r="E85">
        <v>271</v>
      </c>
      <c r="F85">
        <v>194</v>
      </c>
      <c r="G85" s="1" t="s">
        <v>13</v>
      </c>
      <c r="H85" s="1" t="s">
        <v>33</v>
      </c>
      <c r="I85" s="2">
        <v>45765</v>
      </c>
      <c r="J85">
        <v>241.62338500196384</v>
      </c>
      <c r="K85" s="2">
        <v>45810</v>
      </c>
      <c r="L85" s="1" t="s">
        <v>532</v>
      </c>
      <c r="M85">
        <f>Refund_Compliance[[#This Row],[SaleDate]]-Refund_Compliance[[#This Row],[RefundDate]]</f>
        <v>-45</v>
      </c>
      <c r="N85" s="3">
        <f>Refund_Compliance[[#This Row],[RefundAmount]]/Refund_Compliance[[#This Row],[FareCharged]]</f>
        <v>0.89159920664931303</v>
      </c>
      <c r="O85" t="str">
        <f>IF(Refund_Compliance[[#This Row],[Refund Turnaround Days]]&gt;-14,"SLA Breach","OK")</f>
        <v>OK</v>
      </c>
    </row>
    <row r="86" spans="1:15" x14ac:dyDescent="0.35">
      <c r="A86" s="1" t="s">
        <v>390</v>
      </c>
      <c r="B86" s="1" t="s">
        <v>16</v>
      </c>
      <c r="C86" s="1" t="s">
        <v>25</v>
      </c>
      <c r="D86" s="1" t="s">
        <v>12</v>
      </c>
      <c r="E86">
        <v>1143</v>
      </c>
      <c r="F86">
        <v>52</v>
      </c>
      <c r="G86" s="1" t="s">
        <v>13</v>
      </c>
      <c r="H86" s="1" t="s">
        <v>33</v>
      </c>
      <c r="I86" s="2">
        <v>45721</v>
      </c>
      <c r="J86">
        <v>1017.4849546208154</v>
      </c>
      <c r="K86" s="2">
        <v>45728</v>
      </c>
      <c r="L86" s="1" t="s">
        <v>534</v>
      </c>
      <c r="M86">
        <f>Refund_Compliance[[#This Row],[SaleDate]]-Refund_Compliance[[#This Row],[RefundDate]]</f>
        <v>-7</v>
      </c>
      <c r="N86" s="3">
        <f>Refund_Compliance[[#This Row],[RefundAmount]]/Refund_Compliance[[#This Row],[FareCharged]]</f>
        <v>0.89018806178549026</v>
      </c>
      <c r="O86" t="str">
        <f>IF(Refund_Compliance[[#This Row],[Refund Turnaround Days]]&gt;-14,"SLA Breach","OK")</f>
        <v>SLA Breach</v>
      </c>
    </row>
    <row r="87" spans="1:15" x14ac:dyDescent="0.35">
      <c r="A87" s="1" t="s">
        <v>391</v>
      </c>
      <c r="B87" s="1" t="s">
        <v>48</v>
      </c>
      <c r="C87" s="1" t="s">
        <v>11</v>
      </c>
      <c r="D87" s="1" t="s">
        <v>12</v>
      </c>
      <c r="E87">
        <v>255</v>
      </c>
      <c r="F87">
        <v>193</v>
      </c>
      <c r="G87" s="1" t="s">
        <v>13</v>
      </c>
      <c r="H87" s="1" t="s">
        <v>14</v>
      </c>
      <c r="I87" s="2">
        <v>45763</v>
      </c>
      <c r="J87">
        <v>185.89445927295537</v>
      </c>
      <c r="K87" s="2">
        <v>45768</v>
      </c>
      <c r="L87" s="1" t="s">
        <v>532</v>
      </c>
      <c r="M87">
        <f>Refund_Compliance[[#This Row],[SaleDate]]-Refund_Compliance[[#This Row],[RefundDate]]</f>
        <v>-5</v>
      </c>
      <c r="N87" s="3">
        <f>Refund_Compliance[[#This Row],[RefundAmount]]/Refund_Compliance[[#This Row],[FareCharged]]</f>
        <v>0.72899787950178574</v>
      </c>
      <c r="O87" t="str">
        <f>IF(Refund_Compliance[[#This Row],[Refund Turnaround Days]]&gt;-14,"SLA Breach","OK")</f>
        <v>SLA Breach</v>
      </c>
    </row>
    <row r="88" spans="1:15" x14ac:dyDescent="0.35">
      <c r="A88" s="1" t="s">
        <v>393</v>
      </c>
      <c r="B88" s="1" t="s">
        <v>16</v>
      </c>
      <c r="C88" s="1" t="s">
        <v>11</v>
      </c>
      <c r="D88" s="1" t="s">
        <v>12</v>
      </c>
      <c r="E88">
        <v>577</v>
      </c>
      <c r="F88">
        <v>286</v>
      </c>
      <c r="G88" s="1" t="s">
        <v>13</v>
      </c>
      <c r="H88" s="1" t="s">
        <v>33</v>
      </c>
      <c r="I88" s="2">
        <v>45720</v>
      </c>
      <c r="J88">
        <v>403.32452701737407</v>
      </c>
      <c r="K88" s="2">
        <v>45736</v>
      </c>
      <c r="L88" s="1" t="s">
        <v>531</v>
      </c>
      <c r="M88">
        <f>Refund_Compliance[[#This Row],[SaleDate]]-Refund_Compliance[[#This Row],[RefundDate]]</f>
        <v>-16</v>
      </c>
      <c r="N88" s="3">
        <f>Refund_Compliance[[#This Row],[RefundAmount]]/Refund_Compliance[[#This Row],[FareCharged]]</f>
        <v>0.69900264647725141</v>
      </c>
      <c r="O88" t="str">
        <f>IF(Refund_Compliance[[#This Row],[Refund Turnaround Days]]&gt;-14,"SLA Breach","OK")</f>
        <v>OK</v>
      </c>
    </row>
    <row r="89" spans="1:15" x14ac:dyDescent="0.35">
      <c r="A89" s="1" t="s">
        <v>396</v>
      </c>
      <c r="B89" s="1" t="s">
        <v>48</v>
      </c>
      <c r="C89" s="1" t="s">
        <v>25</v>
      </c>
      <c r="D89" s="1" t="s">
        <v>12</v>
      </c>
      <c r="E89">
        <v>784</v>
      </c>
      <c r="F89">
        <v>164</v>
      </c>
      <c r="G89" s="1" t="s">
        <v>13</v>
      </c>
      <c r="H89" s="1" t="s">
        <v>23</v>
      </c>
      <c r="I89" s="2">
        <v>45750</v>
      </c>
      <c r="J89">
        <v>510.74296570261146</v>
      </c>
      <c r="K89" s="2">
        <v>45756</v>
      </c>
      <c r="L89" s="1" t="s">
        <v>532</v>
      </c>
      <c r="M89">
        <f>Refund_Compliance[[#This Row],[SaleDate]]-Refund_Compliance[[#This Row],[RefundDate]]</f>
        <v>-6</v>
      </c>
      <c r="N89" s="3">
        <f>Refund_Compliance[[#This Row],[RefundAmount]]/Refund_Compliance[[#This Row],[FareCharged]]</f>
        <v>0.65145786441659626</v>
      </c>
      <c r="O89" t="str">
        <f>IF(Refund_Compliance[[#This Row],[Refund Turnaround Days]]&gt;-14,"SLA Breach","OK")</f>
        <v>SLA Breach</v>
      </c>
    </row>
    <row r="90" spans="1:15" x14ac:dyDescent="0.35">
      <c r="A90" s="1" t="s">
        <v>398</v>
      </c>
      <c r="B90" s="1" t="s">
        <v>16</v>
      </c>
      <c r="C90" s="1" t="s">
        <v>11</v>
      </c>
      <c r="D90" s="1" t="s">
        <v>12</v>
      </c>
      <c r="E90">
        <v>923</v>
      </c>
      <c r="F90">
        <v>167</v>
      </c>
      <c r="G90" s="1" t="s">
        <v>13</v>
      </c>
      <c r="H90" s="1" t="s">
        <v>42</v>
      </c>
      <c r="I90" s="2">
        <v>45764</v>
      </c>
      <c r="J90">
        <v>491.8181774074398</v>
      </c>
      <c r="K90" s="2">
        <v>45794</v>
      </c>
      <c r="L90" s="1" t="s">
        <v>534</v>
      </c>
      <c r="M90">
        <f>Refund_Compliance[[#This Row],[SaleDate]]-Refund_Compliance[[#This Row],[RefundDate]]</f>
        <v>-30</v>
      </c>
      <c r="N90" s="3">
        <f>Refund_Compliance[[#This Row],[RefundAmount]]/Refund_Compliance[[#This Row],[FareCharged]]</f>
        <v>0.53284742947718289</v>
      </c>
      <c r="O90" t="str">
        <f>IF(Refund_Compliance[[#This Row],[Refund Turnaround Days]]&gt;-14,"SLA Breach","OK")</f>
        <v>OK</v>
      </c>
    </row>
    <row r="91" spans="1:15" x14ac:dyDescent="0.35">
      <c r="A91" s="1" t="s">
        <v>399</v>
      </c>
      <c r="B91" s="1" t="s">
        <v>16</v>
      </c>
      <c r="C91" s="1" t="s">
        <v>11</v>
      </c>
      <c r="D91" s="1" t="s">
        <v>12</v>
      </c>
      <c r="E91">
        <v>1246</v>
      </c>
      <c r="F91">
        <v>54</v>
      </c>
      <c r="G91" s="1" t="s">
        <v>13</v>
      </c>
      <c r="H91" s="1" t="s">
        <v>14</v>
      </c>
      <c r="I91" s="2">
        <v>45671</v>
      </c>
      <c r="J91">
        <v>765.19063145657458</v>
      </c>
      <c r="K91" s="2">
        <v>45715</v>
      </c>
      <c r="L91" s="1" t="s">
        <v>534</v>
      </c>
      <c r="M91">
        <f>Refund_Compliance[[#This Row],[SaleDate]]-Refund_Compliance[[#This Row],[RefundDate]]</f>
        <v>-44</v>
      </c>
      <c r="N91" s="3">
        <f>Refund_Compliance[[#This Row],[RefundAmount]]/Refund_Compliance[[#This Row],[FareCharged]]</f>
        <v>0.61411768174684955</v>
      </c>
      <c r="O91" t="str">
        <f>IF(Refund_Compliance[[#This Row],[Refund Turnaround Days]]&gt;-14,"SLA Breach","OK")</f>
        <v>OK</v>
      </c>
    </row>
    <row r="92" spans="1:15" x14ac:dyDescent="0.35">
      <c r="A92" s="1" t="s">
        <v>401</v>
      </c>
      <c r="B92" s="1" t="s">
        <v>20</v>
      </c>
      <c r="C92" s="1" t="s">
        <v>25</v>
      </c>
      <c r="D92" s="1" t="s">
        <v>12</v>
      </c>
      <c r="E92">
        <v>372</v>
      </c>
      <c r="F92">
        <v>370</v>
      </c>
      <c r="G92" s="1" t="s">
        <v>13</v>
      </c>
      <c r="H92" s="1" t="s">
        <v>42</v>
      </c>
      <c r="I92" s="2">
        <v>45703</v>
      </c>
      <c r="J92">
        <v>231.8682761059126</v>
      </c>
      <c r="K92" s="2">
        <v>45727</v>
      </c>
      <c r="L92" s="1" t="s">
        <v>532</v>
      </c>
      <c r="M92">
        <f>Refund_Compliance[[#This Row],[SaleDate]]-Refund_Compliance[[#This Row],[RefundDate]]</f>
        <v>-24</v>
      </c>
      <c r="N92" s="3">
        <f>Refund_Compliance[[#This Row],[RefundAmount]]/Refund_Compliance[[#This Row],[FareCharged]]</f>
        <v>0.62330181748901237</v>
      </c>
      <c r="O92" t="str">
        <f>IF(Refund_Compliance[[#This Row],[Refund Turnaround Days]]&gt;-14,"SLA Breach","OK")</f>
        <v>OK</v>
      </c>
    </row>
    <row r="93" spans="1:15" x14ac:dyDescent="0.35">
      <c r="A93" s="1" t="s">
        <v>405</v>
      </c>
      <c r="B93" s="1" t="s">
        <v>37</v>
      </c>
      <c r="C93" s="1" t="s">
        <v>11</v>
      </c>
      <c r="D93" s="1" t="s">
        <v>12</v>
      </c>
      <c r="E93">
        <v>865</v>
      </c>
      <c r="F93">
        <v>133</v>
      </c>
      <c r="G93" s="1" t="s">
        <v>13</v>
      </c>
      <c r="H93" s="1" t="s">
        <v>33</v>
      </c>
      <c r="I93" s="2">
        <v>45665</v>
      </c>
      <c r="J93">
        <v>641.8633326496622</v>
      </c>
      <c r="K93" s="2">
        <v>45706</v>
      </c>
      <c r="L93" s="1" t="s">
        <v>533</v>
      </c>
      <c r="M93">
        <f>Refund_Compliance[[#This Row],[SaleDate]]-Refund_Compliance[[#This Row],[RefundDate]]</f>
        <v>-41</v>
      </c>
      <c r="N93" s="3">
        <f>Refund_Compliance[[#This Row],[RefundAmount]]/Refund_Compliance[[#This Row],[FareCharged]]</f>
        <v>0.74203853485510085</v>
      </c>
      <c r="O93" t="str">
        <f>IF(Refund_Compliance[[#This Row],[Refund Turnaround Days]]&gt;-14,"SLA Breach","OK")</f>
        <v>OK</v>
      </c>
    </row>
    <row r="94" spans="1:15" x14ac:dyDescent="0.35">
      <c r="A94" s="1" t="s">
        <v>414</v>
      </c>
      <c r="B94" s="1" t="s">
        <v>27</v>
      </c>
      <c r="C94" s="1" t="s">
        <v>11</v>
      </c>
      <c r="D94" s="1" t="s">
        <v>12</v>
      </c>
      <c r="E94">
        <v>156</v>
      </c>
      <c r="F94">
        <v>200</v>
      </c>
      <c r="G94" s="1" t="s">
        <v>13</v>
      </c>
      <c r="H94" s="1" t="s">
        <v>33</v>
      </c>
      <c r="I94" s="2">
        <v>45767</v>
      </c>
      <c r="J94">
        <v>136.30066371454211</v>
      </c>
      <c r="K94" s="2">
        <v>45769</v>
      </c>
      <c r="L94" s="1" t="s">
        <v>531</v>
      </c>
      <c r="M94">
        <f>Refund_Compliance[[#This Row],[SaleDate]]-Refund_Compliance[[#This Row],[RefundDate]]</f>
        <v>-2</v>
      </c>
      <c r="N94" s="3">
        <f>Refund_Compliance[[#This Row],[RefundAmount]]/Refund_Compliance[[#This Row],[FareCharged]]</f>
        <v>0.87372220329834682</v>
      </c>
      <c r="O94" t="str">
        <f>IF(Refund_Compliance[[#This Row],[Refund Turnaround Days]]&gt;-14,"SLA Breach","OK")</f>
        <v>SLA Breach</v>
      </c>
    </row>
    <row r="95" spans="1:15" x14ac:dyDescent="0.35">
      <c r="A95" s="1" t="s">
        <v>417</v>
      </c>
      <c r="B95" s="1" t="s">
        <v>48</v>
      </c>
      <c r="C95" s="1" t="s">
        <v>25</v>
      </c>
      <c r="D95" s="1" t="s">
        <v>21</v>
      </c>
      <c r="E95">
        <v>357</v>
      </c>
      <c r="F95">
        <v>115</v>
      </c>
      <c r="G95" s="1" t="s">
        <v>13</v>
      </c>
      <c r="H95" s="1" t="s">
        <v>23</v>
      </c>
      <c r="I95" s="2">
        <v>45772</v>
      </c>
      <c r="J95">
        <v>263.07505436903347</v>
      </c>
      <c r="K95" s="2">
        <v>45790</v>
      </c>
      <c r="L95" s="1" t="s">
        <v>531</v>
      </c>
      <c r="M95">
        <f>Refund_Compliance[[#This Row],[SaleDate]]-Refund_Compliance[[#This Row],[RefundDate]]</f>
        <v>-18</v>
      </c>
      <c r="N95" s="3">
        <f>Refund_Compliance[[#This Row],[RefundAmount]]/Refund_Compliance[[#This Row],[FareCharged]]</f>
        <v>0.7369049141989733</v>
      </c>
      <c r="O95" t="str">
        <f>IF(Refund_Compliance[[#This Row],[Refund Turnaround Days]]&gt;-14,"SLA Breach","OK")</f>
        <v>OK</v>
      </c>
    </row>
    <row r="96" spans="1:15" x14ac:dyDescent="0.35">
      <c r="A96" s="1" t="s">
        <v>419</v>
      </c>
      <c r="B96" s="1" t="s">
        <v>20</v>
      </c>
      <c r="C96" s="1" t="s">
        <v>11</v>
      </c>
      <c r="D96" s="1" t="s">
        <v>12</v>
      </c>
      <c r="E96">
        <v>1563</v>
      </c>
      <c r="F96">
        <v>307</v>
      </c>
      <c r="G96" s="1" t="s">
        <v>13</v>
      </c>
      <c r="H96" s="1" t="s">
        <v>42</v>
      </c>
      <c r="I96" s="2">
        <v>45681</v>
      </c>
      <c r="J96">
        <v>826.70543724295601</v>
      </c>
      <c r="K96" s="2">
        <v>45690</v>
      </c>
      <c r="L96" s="1" t="s">
        <v>534</v>
      </c>
      <c r="M96">
        <f>Refund_Compliance[[#This Row],[SaleDate]]-Refund_Compliance[[#This Row],[RefundDate]]</f>
        <v>-9</v>
      </c>
      <c r="N96" s="3">
        <f>Refund_Compliance[[#This Row],[RefundAmount]]/Refund_Compliance[[#This Row],[FareCharged]]</f>
        <v>0.5289222247235803</v>
      </c>
      <c r="O96" t="str">
        <f>IF(Refund_Compliance[[#This Row],[Refund Turnaround Days]]&gt;-14,"SLA Breach","OK")</f>
        <v>SLA Breach</v>
      </c>
    </row>
    <row r="97" spans="1:15" x14ac:dyDescent="0.35">
      <c r="A97" s="1" t="s">
        <v>421</v>
      </c>
      <c r="B97" s="1" t="s">
        <v>16</v>
      </c>
      <c r="C97" s="1" t="s">
        <v>11</v>
      </c>
      <c r="D97" s="1" t="s">
        <v>12</v>
      </c>
      <c r="E97">
        <v>171</v>
      </c>
      <c r="F97">
        <v>380</v>
      </c>
      <c r="G97" s="1" t="s">
        <v>13</v>
      </c>
      <c r="H97" s="1" t="s">
        <v>33</v>
      </c>
      <c r="I97" s="2">
        <v>45680</v>
      </c>
      <c r="J97">
        <v>167.39102798449142</v>
      </c>
      <c r="K97" s="2">
        <v>45686</v>
      </c>
      <c r="L97" s="1" t="s">
        <v>533</v>
      </c>
      <c r="M97">
        <f>Refund_Compliance[[#This Row],[SaleDate]]-Refund_Compliance[[#This Row],[RefundDate]]</f>
        <v>-6</v>
      </c>
      <c r="N97" s="3">
        <f>Refund_Compliance[[#This Row],[RefundAmount]]/Refund_Compliance[[#This Row],[FareCharged]]</f>
        <v>0.97889490049410188</v>
      </c>
      <c r="O97" t="str">
        <f>IF(Refund_Compliance[[#This Row],[Refund Turnaround Days]]&gt;-14,"SLA Breach","OK")</f>
        <v>SLA Breach</v>
      </c>
    </row>
    <row r="98" spans="1:15" x14ac:dyDescent="0.35">
      <c r="A98" s="1" t="s">
        <v>425</v>
      </c>
      <c r="B98" s="1" t="s">
        <v>27</v>
      </c>
      <c r="C98" s="1" t="s">
        <v>11</v>
      </c>
      <c r="D98" s="1" t="s">
        <v>21</v>
      </c>
      <c r="E98">
        <v>1300</v>
      </c>
      <c r="F98">
        <v>203</v>
      </c>
      <c r="G98" s="1" t="s">
        <v>13</v>
      </c>
      <c r="H98" s="1" t="s">
        <v>14</v>
      </c>
      <c r="I98" s="2">
        <v>45704</v>
      </c>
      <c r="J98">
        <v>1262.7708074111729</v>
      </c>
      <c r="K98" s="2">
        <v>45727</v>
      </c>
      <c r="L98" s="1" t="s">
        <v>532</v>
      </c>
      <c r="M98">
        <f>Refund_Compliance[[#This Row],[SaleDate]]-Refund_Compliance[[#This Row],[RefundDate]]</f>
        <v>-23</v>
      </c>
      <c r="N98" s="3">
        <f>Refund_Compliance[[#This Row],[RefundAmount]]/Refund_Compliance[[#This Row],[FareCharged]]</f>
        <v>0.97136215954705607</v>
      </c>
      <c r="O98" t="str">
        <f>IF(Refund_Compliance[[#This Row],[Refund Turnaround Days]]&gt;-14,"SLA Breach","OK")</f>
        <v>OK</v>
      </c>
    </row>
    <row r="99" spans="1:15" x14ac:dyDescent="0.35">
      <c r="A99" s="1" t="s">
        <v>428</v>
      </c>
      <c r="B99" s="1" t="s">
        <v>10</v>
      </c>
      <c r="C99" s="1" t="s">
        <v>17</v>
      </c>
      <c r="D99" s="1" t="s">
        <v>12</v>
      </c>
      <c r="E99">
        <v>1023</v>
      </c>
      <c r="F99">
        <v>311</v>
      </c>
      <c r="G99" s="1" t="s">
        <v>13</v>
      </c>
      <c r="H99" s="1" t="s">
        <v>42</v>
      </c>
      <c r="I99" s="2">
        <v>45708</v>
      </c>
      <c r="J99">
        <v>913.12445132041091</v>
      </c>
      <c r="K99" s="2">
        <v>45732</v>
      </c>
      <c r="L99" s="1" t="s">
        <v>531</v>
      </c>
      <c r="M99">
        <f>Refund_Compliance[[#This Row],[SaleDate]]-Refund_Compliance[[#This Row],[RefundDate]]</f>
        <v>-24</v>
      </c>
      <c r="N99" s="3">
        <f>Refund_Compliance[[#This Row],[RefundAmount]]/Refund_Compliance[[#This Row],[FareCharged]]</f>
        <v>0.89259477157420419</v>
      </c>
      <c r="O99" t="str">
        <f>IF(Refund_Compliance[[#This Row],[Refund Turnaround Days]]&gt;-14,"SLA Breach","OK")</f>
        <v>OK</v>
      </c>
    </row>
    <row r="100" spans="1:15" x14ac:dyDescent="0.35">
      <c r="A100" s="1" t="s">
        <v>429</v>
      </c>
      <c r="B100" s="1" t="s">
        <v>27</v>
      </c>
      <c r="C100" s="1" t="s">
        <v>11</v>
      </c>
      <c r="D100" s="1" t="s">
        <v>12</v>
      </c>
      <c r="E100">
        <v>163</v>
      </c>
      <c r="F100">
        <v>192</v>
      </c>
      <c r="G100" s="1" t="s">
        <v>13</v>
      </c>
      <c r="H100" s="1" t="s">
        <v>33</v>
      </c>
      <c r="I100" s="2">
        <v>45740</v>
      </c>
      <c r="J100">
        <v>162.29322397748399</v>
      </c>
      <c r="K100" s="2">
        <v>45767</v>
      </c>
      <c r="L100" s="1" t="s">
        <v>533</v>
      </c>
      <c r="M100">
        <f>Refund_Compliance[[#This Row],[SaleDate]]-Refund_Compliance[[#This Row],[RefundDate]]</f>
        <v>-27</v>
      </c>
      <c r="N100" s="3">
        <f>Refund_Compliance[[#This Row],[RefundAmount]]/Refund_Compliance[[#This Row],[FareCharged]]</f>
        <v>0.99566395078211034</v>
      </c>
      <c r="O100" t="str">
        <f>IF(Refund_Compliance[[#This Row],[Refund Turnaround Days]]&gt;-14,"SLA Breach","OK")</f>
        <v>OK</v>
      </c>
    </row>
    <row r="101" spans="1:15" x14ac:dyDescent="0.35">
      <c r="A101" s="1" t="s">
        <v>431</v>
      </c>
      <c r="B101" s="1" t="s">
        <v>10</v>
      </c>
      <c r="C101" s="1" t="s">
        <v>32</v>
      </c>
      <c r="D101" s="1" t="s">
        <v>12</v>
      </c>
      <c r="E101">
        <v>1127</v>
      </c>
      <c r="F101">
        <v>365</v>
      </c>
      <c r="G101" s="1" t="s">
        <v>13</v>
      </c>
      <c r="H101" s="1" t="s">
        <v>33</v>
      </c>
      <c r="I101" s="2">
        <v>45668</v>
      </c>
      <c r="J101">
        <v>870.31579453294808</v>
      </c>
      <c r="K101" s="2">
        <v>45710</v>
      </c>
      <c r="L101" s="1" t="s">
        <v>531</v>
      </c>
      <c r="M101">
        <f>Refund_Compliance[[#This Row],[SaleDate]]-Refund_Compliance[[#This Row],[RefundDate]]</f>
        <v>-42</v>
      </c>
      <c r="N101" s="3">
        <f>Refund_Compliance[[#This Row],[RefundAmount]]/Refund_Compliance[[#This Row],[FareCharged]]</f>
        <v>0.77224116640013141</v>
      </c>
      <c r="O101" t="str">
        <f>IF(Refund_Compliance[[#This Row],[Refund Turnaround Days]]&gt;-14,"SLA Breach","OK")</f>
        <v>OK</v>
      </c>
    </row>
    <row r="102" spans="1:15" x14ac:dyDescent="0.35">
      <c r="A102" s="1" t="s">
        <v>432</v>
      </c>
      <c r="B102" s="1" t="s">
        <v>16</v>
      </c>
      <c r="C102" s="1" t="s">
        <v>32</v>
      </c>
      <c r="D102" s="1" t="s">
        <v>51</v>
      </c>
      <c r="E102">
        <v>1163</v>
      </c>
      <c r="F102">
        <v>150</v>
      </c>
      <c r="G102" s="1" t="s">
        <v>13</v>
      </c>
      <c r="H102" s="1" t="s">
        <v>23</v>
      </c>
      <c r="I102" s="2">
        <v>45668</v>
      </c>
      <c r="J102">
        <v>1141.3497956722392</v>
      </c>
      <c r="K102" s="2">
        <v>45687</v>
      </c>
      <c r="L102" s="1" t="s">
        <v>533</v>
      </c>
      <c r="M102">
        <f>Refund_Compliance[[#This Row],[SaleDate]]-Refund_Compliance[[#This Row],[RefundDate]]</f>
        <v>-19</v>
      </c>
      <c r="N102" s="3">
        <f>Refund_Compliance[[#This Row],[RefundAmount]]/Refund_Compliance[[#This Row],[FareCharged]]</f>
        <v>0.98138417512660292</v>
      </c>
      <c r="O102" t="str">
        <f>IF(Refund_Compliance[[#This Row],[Refund Turnaround Days]]&gt;-14,"SLA Breach","OK")</f>
        <v>OK</v>
      </c>
    </row>
    <row r="103" spans="1:15" x14ac:dyDescent="0.35">
      <c r="A103" s="1" t="s">
        <v>442</v>
      </c>
      <c r="B103" s="1" t="s">
        <v>37</v>
      </c>
      <c r="C103" s="1" t="s">
        <v>17</v>
      </c>
      <c r="D103" s="1" t="s">
        <v>12</v>
      </c>
      <c r="E103">
        <v>1740</v>
      </c>
      <c r="F103">
        <v>265</v>
      </c>
      <c r="G103" s="1" t="s">
        <v>13</v>
      </c>
      <c r="H103" s="1" t="s">
        <v>18</v>
      </c>
      <c r="I103" s="2">
        <v>45662</v>
      </c>
      <c r="J103">
        <v>935.77638533657318</v>
      </c>
      <c r="K103" s="2">
        <v>45693</v>
      </c>
      <c r="L103" s="1" t="s">
        <v>533</v>
      </c>
      <c r="M103">
        <f>Refund_Compliance[[#This Row],[SaleDate]]-Refund_Compliance[[#This Row],[RefundDate]]</f>
        <v>-31</v>
      </c>
      <c r="N103" s="3">
        <f>Refund_Compliance[[#This Row],[RefundAmount]]/Refund_Compliance[[#This Row],[FareCharged]]</f>
        <v>0.53780252030837539</v>
      </c>
      <c r="O103" t="str">
        <f>IF(Refund_Compliance[[#This Row],[Refund Turnaround Days]]&gt;-14,"SLA Breach","OK")</f>
        <v>OK</v>
      </c>
    </row>
    <row r="104" spans="1:15" x14ac:dyDescent="0.35">
      <c r="A104" s="1" t="s">
        <v>443</v>
      </c>
      <c r="B104" s="1" t="s">
        <v>20</v>
      </c>
      <c r="C104" s="1" t="s">
        <v>25</v>
      </c>
      <c r="D104" s="1" t="s">
        <v>21</v>
      </c>
      <c r="E104">
        <v>899</v>
      </c>
      <c r="F104">
        <v>207</v>
      </c>
      <c r="G104" s="1" t="s">
        <v>13</v>
      </c>
      <c r="H104" s="1" t="s">
        <v>33</v>
      </c>
      <c r="I104" s="2">
        <v>45673</v>
      </c>
      <c r="J104">
        <v>613.87349634348641</v>
      </c>
      <c r="K104" s="2">
        <v>45688</v>
      </c>
      <c r="L104" s="1" t="s">
        <v>534</v>
      </c>
      <c r="M104">
        <f>Refund_Compliance[[#This Row],[SaleDate]]-Refund_Compliance[[#This Row],[RefundDate]]</f>
        <v>-15</v>
      </c>
      <c r="N104" s="3">
        <f>Refund_Compliance[[#This Row],[RefundAmount]]/Refund_Compliance[[#This Row],[FareCharged]]</f>
        <v>0.68284037413068566</v>
      </c>
      <c r="O104" t="str">
        <f>IF(Refund_Compliance[[#This Row],[Refund Turnaround Days]]&gt;-14,"SLA Breach","OK")</f>
        <v>OK</v>
      </c>
    </row>
    <row r="105" spans="1:15" x14ac:dyDescent="0.35">
      <c r="A105" s="1" t="s">
        <v>445</v>
      </c>
      <c r="B105" s="1" t="s">
        <v>27</v>
      </c>
      <c r="C105" s="1" t="s">
        <v>17</v>
      </c>
      <c r="D105" s="1" t="s">
        <v>12</v>
      </c>
      <c r="E105">
        <v>834</v>
      </c>
      <c r="F105">
        <v>116</v>
      </c>
      <c r="G105" s="1" t="s">
        <v>13</v>
      </c>
      <c r="H105" s="1" t="s">
        <v>18</v>
      </c>
      <c r="I105" s="2">
        <v>45772</v>
      </c>
      <c r="J105">
        <v>510.98398875882128</v>
      </c>
      <c r="K105" s="2">
        <v>45801</v>
      </c>
      <c r="L105" s="1" t="s">
        <v>531</v>
      </c>
      <c r="M105">
        <f>Refund_Compliance[[#This Row],[SaleDate]]-Refund_Compliance[[#This Row],[RefundDate]]</f>
        <v>-29</v>
      </c>
      <c r="N105" s="3">
        <f>Refund_Compliance[[#This Row],[RefundAmount]]/Refund_Compliance[[#This Row],[FareCharged]]</f>
        <v>0.61269063400338286</v>
      </c>
      <c r="O105" t="str">
        <f>IF(Refund_Compliance[[#This Row],[Refund Turnaround Days]]&gt;-14,"SLA Breach","OK")</f>
        <v>OK</v>
      </c>
    </row>
    <row r="106" spans="1:15" x14ac:dyDescent="0.35">
      <c r="A106" s="1" t="s">
        <v>450</v>
      </c>
      <c r="B106" s="1" t="s">
        <v>27</v>
      </c>
      <c r="C106" s="1" t="s">
        <v>11</v>
      </c>
      <c r="D106" s="1" t="s">
        <v>21</v>
      </c>
      <c r="E106">
        <v>437</v>
      </c>
      <c r="F106">
        <v>212</v>
      </c>
      <c r="G106" s="1" t="s">
        <v>13</v>
      </c>
      <c r="H106" s="1" t="s">
        <v>14</v>
      </c>
      <c r="I106" s="2">
        <v>45689</v>
      </c>
      <c r="J106">
        <v>261.28952888333805</v>
      </c>
      <c r="K106" s="2">
        <v>45691</v>
      </c>
      <c r="L106" s="1" t="s">
        <v>532</v>
      </c>
      <c r="M106">
        <f>Refund_Compliance[[#This Row],[SaleDate]]-Refund_Compliance[[#This Row],[RefundDate]]</f>
        <v>-2</v>
      </c>
      <c r="N106" s="3">
        <f>Refund_Compliance[[#This Row],[RefundAmount]]/Refund_Compliance[[#This Row],[FareCharged]]</f>
        <v>0.59791654206713518</v>
      </c>
      <c r="O106" t="str">
        <f>IF(Refund_Compliance[[#This Row],[Refund Turnaround Days]]&gt;-14,"SLA Breach","OK")</f>
        <v>SLA Breach</v>
      </c>
    </row>
    <row r="107" spans="1:15" x14ac:dyDescent="0.35">
      <c r="A107" s="1" t="s">
        <v>458</v>
      </c>
      <c r="B107" s="1" t="s">
        <v>10</v>
      </c>
      <c r="C107" s="1" t="s">
        <v>25</v>
      </c>
      <c r="D107" s="1" t="s">
        <v>51</v>
      </c>
      <c r="E107">
        <v>1525</v>
      </c>
      <c r="F107">
        <v>74</v>
      </c>
      <c r="G107" s="1" t="s">
        <v>13</v>
      </c>
      <c r="H107" s="1" t="s">
        <v>23</v>
      </c>
      <c r="I107" s="2">
        <v>45767</v>
      </c>
      <c r="J107">
        <v>869.86224853066551</v>
      </c>
      <c r="K107" s="2">
        <v>45794</v>
      </c>
      <c r="L107" s="1" t="s">
        <v>534</v>
      </c>
      <c r="M107">
        <f>Refund_Compliance[[#This Row],[SaleDate]]-Refund_Compliance[[#This Row],[RefundDate]]</f>
        <v>-27</v>
      </c>
      <c r="N107" s="3">
        <f>Refund_Compliance[[#This Row],[RefundAmount]]/Refund_Compliance[[#This Row],[FareCharged]]</f>
        <v>0.57040147444633804</v>
      </c>
      <c r="O107" t="str">
        <f>IF(Refund_Compliance[[#This Row],[Refund Turnaround Days]]&gt;-14,"SLA Breach","OK")</f>
        <v>OK</v>
      </c>
    </row>
    <row r="108" spans="1:15" x14ac:dyDescent="0.35">
      <c r="A108" s="1" t="s">
        <v>459</v>
      </c>
      <c r="B108" s="1" t="s">
        <v>16</v>
      </c>
      <c r="C108" s="1" t="s">
        <v>25</v>
      </c>
      <c r="D108" s="1" t="s">
        <v>51</v>
      </c>
      <c r="E108">
        <v>461</v>
      </c>
      <c r="F108">
        <v>330</v>
      </c>
      <c r="G108" s="1" t="s">
        <v>13</v>
      </c>
      <c r="H108" s="1" t="s">
        <v>18</v>
      </c>
      <c r="I108" s="2">
        <v>45762</v>
      </c>
      <c r="J108">
        <v>373.96634438096225</v>
      </c>
      <c r="K108" s="2">
        <v>45799</v>
      </c>
      <c r="L108" s="1" t="s">
        <v>534</v>
      </c>
      <c r="M108">
        <f>Refund_Compliance[[#This Row],[SaleDate]]-Refund_Compliance[[#This Row],[RefundDate]]</f>
        <v>-37</v>
      </c>
      <c r="N108" s="3">
        <f>Refund_Compliance[[#This Row],[RefundAmount]]/Refund_Compliance[[#This Row],[FareCharged]]</f>
        <v>0.81120682078299844</v>
      </c>
      <c r="O108" t="str">
        <f>IF(Refund_Compliance[[#This Row],[Refund Turnaround Days]]&gt;-14,"SLA Breach","OK")</f>
        <v>OK</v>
      </c>
    </row>
    <row r="109" spans="1:15" x14ac:dyDescent="0.35">
      <c r="A109" s="1" t="s">
        <v>461</v>
      </c>
      <c r="B109" s="1" t="s">
        <v>16</v>
      </c>
      <c r="C109" s="1" t="s">
        <v>11</v>
      </c>
      <c r="D109" s="1" t="s">
        <v>12</v>
      </c>
      <c r="E109">
        <v>1232</v>
      </c>
      <c r="F109">
        <v>359</v>
      </c>
      <c r="G109" s="1" t="s">
        <v>13</v>
      </c>
      <c r="H109" s="1" t="s">
        <v>33</v>
      </c>
      <c r="I109" s="2">
        <v>45769</v>
      </c>
      <c r="J109">
        <v>1097.29426314034</v>
      </c>
      <c r="K109" s="2">
        <v>45805</v>
      </c>
      <c r="L109" s="1" t="s">
        <v>532</v>
      </c>
      <c r="M109">
        <f>Refund_Compliance[[#This Row],[SaleDate]]-Refund_Compliance[[#This Row],[RefundDate]]</f>
        <v>-36</v>
      </c>
      <c r="N109" s="3">
        <f>Refund_Compliance[[#This Row],[RefundAmount]]/Refund_Compliance[[#This Row],[FareCharged]]</f>
        <v>0.89066092787365259</v>
      </c>
      <c r="O109" t="str">
        <f>IF(Refund_Compliance[[#This Row],[Refund Turnaround Days]]&gt;-14,"SLA Breach","OK")</f>
        <v>OK</v>
      </c>
    </row>
    <row r="110" spans="1:15" x14ac:dyDescent="0.35">
      <c r="A110" s="1" t="s">
        <v>466</v>
      </c>
      <c r="B110" s="1" t="s">
        <v>10</v>
      </c>
      <c r="C110" s="1" t="s">
        <v>25</v>
      </c>
      <c r="D110" s="1" t="s">
        <v>12</v>
      </c>
      <c r="E110">
        <v>184</v>
      </c>
      <c r="F110">
        <v>370</v>
      </c>
      <c r="G110" s="1" t="s">
        <v>13</v>
      </c>
      <c r="H110" s="1" t="s">
        <v>23</v>
      </c>
      <c r="I110" s="2">
        <v>45743</v>
      </c>
      <c r="J110">
        <v>145.20345274667318</v>
      </c>
      <c r="K110" s="2">
        <v>45775</v>
      </c>
      <c r="L110" s="1" t="s">
        <v>534</v>
      </c>
      <c r="M110">
        <f>Refund_Compliance[[#This Row],[SaleDate]]-Refund_Compliance[[#This Row],[RefundDate]]</f>
        <v>-32</v>
      </c>
      <c r="N110" s="3">
        <f>Refund_Compliance[[#This Row],[RefundAmount]]/Refund_Compliance[[#This Row],[FareCharged]]</f>
        <v>0.78914919971018027</v>
      </c>
      <c r="O110" t="str">
        <f>IF(Refund_Compliance[[#This Row],[Refund Turnaround Days]]&gt;-14,"SLA Breach","OK")</f>
        <v>OK</v>
      </c>
    </row>
    <row r="111" spans="1:15" x14ac:dyDescent="0.35">
      <c r="A111" s="1" t="s">
        <v>471</v>
      </c>
      <c r="B111" s="1" t="s">
        <v>20</v>
      </c>
      <c r="C111" s="1" t="s">
        <v>17</v>
      </c>
      <c r="D111" s="1" t="s">
        <v>12</v>
      </c>
      <c r="E111">
        <v>1052</v>
      </c>
      <c r="F111">
        <v>74</v>
      </c>
      <c r="G111" s="1" t="s">
        <v>13</v>
      </c>
      <c r="H111" s="1" t="s">
        <v>23</v>
      </c>
      <c r="I111" s="2">
        <v>45671</v>
      </c>
      <c r="J111">
        <v>603.30238524339836</v>
      </c>
      <c r="K111" s="2">
        <v>45682</v>
      </c>
      <c r="L111" s="1" t="s">
        <v>533</v>
      </c>
      <c r="M111">
        <f>Refund_Compliance[[#This Row],[SaleDate]]-Refund_Compliance[[#This Row],[RefundDate]]</f>
        <v>-11</v>
      </c>
      <c r="N111" s="3">
        <f>Refund_Compliance[[#This Row],[RefundAmount]]/Refund_Compliance[[#This Row],[FareCharged]]</f>
        <v>0.57348135479410489</v>
      </c>
      <c r="O111" t="str">
        <f>IF(Refund_Compliance[[#This Row],[Refund Turnaround Days]]&gt;-14,"SLA Breach","OK")</f>
        <v>SLA Breach</v>
      </c>
    </row>
    <row r="112" spans="1:15" x14ac:dyDescent="0.35">
      <c r="A112" s="1" t="s">
        <v>480</v>
      </c>
      <c r="B112" s="1" t="s">
        <v>20</v>
      </c>
      <c r="C112" s="1" t="s">
        <v>25</v>
      </c>
      <c r="D112" s="1" t="s">
        <v>21</v>
      </c>
      <c r="E112">
        <v>954</v>
      </c>
      <c r="F112">
        <v>177</v>
      </c>
      <c r="G112" s="1" t="s">
        <v>13</v>
      </c>
      <c r="H112" s="1" t="s">
        <v>14</v>
      </c>
      <c r="I112" s="2">
        <v>45726</v>
      </c>
      <c r="J112">
        <v>863.90603825826565</v>
      </c>
      <c r="K112" s="2">
        <v>45763</v>
      </c>
      <c r="L112" s="1" t="s">
        <v>533</v>
      </c>
      <c r="M112">
        <f>Refund_Compliance[[#This Row],[SaleDate]]-Refund_Compliance[[#This Row],[RefundDate]]</f>
        <v>-37</v>
      </c>
      <c r="N112" s="3">
        <f>Refund_Compliance[[#This Row],[RefundAmount]]/Refund_Compliance[[#This Row],[FareCharged]]</f>
        <v>0.90556188496673551</v>
      </c>
      <c r="O112" t="str">
        <f>IF(Refund_Compliance[[#This Row],[Refund Turnaround Days]]&gt;-14,"SLA Breach","OK")</f>
        <v>OK</v>
      </c>
    </row>
    <row r="113" spans="1:15" x14ac:dyDescent="0.35">
      <c r="A113" s="1" t="s">
        <v>481</v>
      </c>
      <c r="B113" s="1" t="s">
        <v>10</v>
      </c>
      <c r="C113" s="1" t="s">
        <v>17</v>
      </c>
      <c r="D113" s="1" t="s">
        <v>12</v>
      </c>
      <c r="E113">
        <v>665</v>
      </c>
      <c r="F113">
        <v>145</v>
      </c>
      <c r="G113" s="1" t="s">
        <v>13</v>
      </c>
      <c r="H113" s="1" t="s">
        <v>42</v>
      </c>
      <c r="I113" s="2">
        <v>45701</v>
      </c>
      <c r="J113">
        <v>543.95494013193968</v>
      </c>
      <c r="K113" s="2">
        <v>45720</v>
      </c>
      <c r="L113" s="1" t="s">
        <v>531</v>
      </c>
      <c r="M113">
        <f>Refund_Compliance[[#This Row],[SaleDate]]-Refund_Compliance[[#This Row],[RefundDate]]</f>
        <v>-19</v>
      </c>
      <c r="N113" s="3">
        <f>Refund_Compliance[[#This Row],[RefundAmount]]/Refund_Compliance[[#This Row],[FareCharged]]</f>
        <v>0.81797735358186419</v>
      </c>
      <c r="O113" t="str">
        <f>IF(Refund_Compliance[[#This Row],[Refund Turnaround Days]]&gt;-14,"SLA Breach","OK")</f>
        <v>OK</v>
      </c>
    </row>
    <row r="114" spans="1:15" x14ac:dyDescent="0.35">
      <c r="A114" s="1" t="s">
        <v>485</v>
      </c>
      <c r="B114" s="1" t="s">
        <v>27</v>
      </c>
      <c r="C114" s="1" t="s">
        <v>11</v>
      </c>
      <c r="D114" s="1" t="s">
        <v>12</v>
      </c>
      <c r="E114">
        <v>681</v>
      </c>
      <c r="F114">
        <v>383</v>
      </c>
      <c r="G114" s="1" t="s">
        <v>13</v>
      </c>
      <c r="H114" s="1" t="s">
        <v>18</v>
      </c>
      <c r="I114" s="2">
        <v>45676</v>
      </c>
      <c r="J114">
        <v>472.67042293624195</v>
      </c>
      <c r="K114" s="2">
        <v>45693</v>
      </c>
      <c r="L114" s="1" t="s">
        <v>531</v>
      </c>
      <c r="M114">
        <f>Refund_Compliance[[#This Row],[SaleDate]]-Refund_Compliance[[#This Row],[RefundDate]]</f>
        <v>-17</v>
      </c>
      <c r="N114" s="3">
        <f>Refund_Compliance[[#This Row],[RefundAmount]]/Refund_Compliance[[#This Row],[FareCharged]]</f>
        <v>0.69408285306349771</v>
      </c>
      <c r="O114" t="str">
        <f>IF(Refund_Compliance[[#This Row],[Refund Turnaround Days]]&gt;-14,"SLA Breach","OK")</f>
        <v>OK</v>
      </c>
    </row>
    <row r="115" spans="1:15" x14ac:dyDescent="0.35">
      <c r="A115" s="1" t="s">
        <v>500</v>
      </c>
      <c r="B115" s="1" t="s">
        <v>16</v>
      </c>
      <c r="C115" s="1" t="s">
        <v>17</v>
      </c>
      <c r="D115" s="1" t="s">
        <v>12</v>
      </c>
      <c r="E115">
        <v>484</v>
      </c>
      <c r="F115">
        <v>179</v>
      </c>
      <c r="G115" s="1" t="s">
        <v>13</v>
      </c>
      <c r="H115" s="1" t="s">
        <v>14</v>
      </c>
      <c r="I115" s="2">
        <v>45731</v>
      </c>
      <c r="J115">
        <v>405.13953151972726</v>
      </c>
      <c r="K115" s="2">
        <v>45752</v>
      </c>
      <c r="L115" s="1" t="s">
        <v>532</v>
      </c>
      <c r="M115">
        <f>Refund_Compliance[[#This Row],[SaleDate]]-Refund_Compliance[[#This Row],[RefundDate]]</f>
        <v>-21</v>
      </c>
      <c r="N115" s="3">
        <f>Refund_Compliance[[#This Row],[RefundAmount]]/Refund_Compliance[[#This Row],[FareCharged]]</f>
        <v>0.83706514776803154</v>
      </c>
      <c r="O115" t="str">
        <f>IF(Refund_Compliance[[#This Row],[Refund Turnaround Days]]&gt;-14,"SLA Breach","OK")</f>
        <v>OK</v>
      </c>
    </row>
    <row r="116" spans="1:15" x14ac:dyDescent="0.35">
      <c r="A116" s="1" t="s">
        <v>508</v>
      </c>
      <c r="B116" s="1" t="s">
        <v>27</v>
      </c>
      <c r="C116" s="1" t="s">
        <v>11</v>
      </c>
      <c r="D116" s="1" t="s">
        <v>12</v>
      </c>
      <c r="E116">
        <v>1419</v>
      </c>
      <c r="F116">
        <v>378</v>
      </c>
      <c r="G116" s="1" t="s">
        <v>13</v>
      </c>
      <c r="H116" s="1" t="s">
        <v>14</v>
      </c>
      <c r="I116" s="2">
        <v>45731</v>
      </c>
      <c r="J116">
        <v>893.90258277278986</v>
      </c>
      <c r="K116" s="2">
        <v>45746</v>
      </c>
      <c r="L116" s="1" t="s">
        <v>531</v>
      </c>
      <c r="M116">
        <f>Refund_Compliance[[#This Row],[SaleDate]]-Refund_Compliance[[#This Row],[RefundDate]]</f>
        <v>-15</v>
      </c>
      <c r="N116" s="3">
        <f>Refund_Compliance[[#This Row],[RefundAmount]]/Refund_Compliance[[#This Row],[FareCharged]]</f>
        <v>0.62995248962141637</v>
      </c>
      <c r="O116" t="str">
        <f>IF(Refund_Compliance[[#This Row],[Refund Turnaround Days]]&gt;-14,"SLA Breach","OK")</f>
        <v>OK</v>
      </c>
    </row>
    <row r="117" spans="1:15" x14ac:dyDescent="0.35">
      <c r="A117" s="1" t="s">
        <v>510</v>
      </c>
      <c r="B117" s="1" t="s">
        <v>16</v>
      </c>
      <c r="C117" s="1" t="s">
        <v>11</v>
      </c>
      <c r="D117" s="1" t="s">
        <v>51</v>
      </c>
      <c r="E117">
        <v>1441</v>
      </c>
      <c r="F117">
        <v>239</v>
      </c>
      <c r="G117" s="1" t="s">
        <v>13</v>
      </c>
      <c r="H117" s="1" t="s">
        <v>14</v>
      </c>
      <c r="I117" s="2">
        <v>45731</v>
      </c>
      <c r="J117">
        <v>969.21098622007867</v>
      </c>
      <c r="K117" s="2">
        <v>45761</v>
      </c>
      <c r="L117" s="1" t="s">
        <v>533</v>
      </c>
      <c r="M117">
        <f>Refund_Compliance[[#This Row],[SaleDate]]-Refund_Compliance[[#This Row],[RefundDate]]</f>
        <v>-30</v>
      </c>
      <c r="N117" s="3">
        <f>Refund_Compliance[[#This Row],[RefundAmount]]/Refund_Compliance[[#This Row],[FareCharged]]</f>
        <v>0.67259610424710525</v>
      </c>
      <c r="O117" t="str">
        <f>IF(Refund_Compliance[[#This Row],[Refund Turnaround Days]]&gt;-14,"SLA Breach","OK")</f>
        <v>OK</v>
      </c>
    </row>
    <row r="118" spans="1:15" x14ac:dyDescent="0.35">
      <c r="A118" s="1" t="s">
        <v>511</v>
      </c>
      <c r="B118" s="1" t="s">
        <v>37</v>
      </c>
      <c r="C118" s="1" t="s">
        <v>17</v>
      </c>
      <c r="D118" s="1" t="s">
        <v>12</v>
      </c>
      <c r="E118">
        <v>1816</v>
      </c>
      <c r="F118">
        <v>312</v>
      </c>
      <c r="G118" s="1" t="s">
        <v>13</v>
      </c>
      <c r="H118" s="1" t="s">
        <v>33</v>
      </c>
      <c r="I118" s="2">
        <v>45753</v>
      </c>
      <c r="J118">
        <v>1741.0771455638471</v>
      </c>
      <c r="K118" s="2">
        <v>45759</v>
      </c>
      <c r="L118" s="1" t="s">
        <v>532</v>
      </c>
      <c r="M118">
        <f>Refund_Compliance[[#This Row],[SaleDate]]-Refund_Compliance[[#This Row],[RefundDate]]</f>
        <v>-6</v>
      </c>
      <c r="N118" s="3">
        <f>Refund_Compliance[[#This Row],[RefundAmount]]/Refund_Compliance[[#This Row],[FareCharged]]</f>
        <v>0.95874292156599517</v>
      </c>
      <c r="O118" t="str">
        <f>IF(Refund_Compliance[[#This Row],[Refund Turnaround Days]]&gt;-14,"SLA Breach","OK")</f>
        <v>SLA Breach</v>
      </c>
    </row>
    <row r="119" spans="1:15" x14ac:dyDescent="0.35">
      <c r="A119" s="1" t="s">
        <v>513</v>
      </c>
      <c r="B119" s="1" t="s">
        <v>16</v>
      </c>
      <c r="C119" s="1" t="s">
        <v>25</v>
      </c>
      <c r="D119" s="1" t="s">
        <v>12</v>
      </c>
      <c r="E119">
        <v>679</v>
      </c>
      <c r="F119">
        <v>301</v>
      </c>
      <c r="G119" s="1" t="s">
        <v>13</v>
      </c>
      <c r="H119" s="1" t="s">
        <v>18</v>
      </c>
      <c r="I119" s="2">
        <v>45747</v>
      </c>
      <c r="J119">
        <v>438.12627967544722</v>
      </c>
      <c r="K119" s="2">
        <v>45781</v>
      </c>
      <c r="L119" s="1" t="s">
        <v>532</v>
      </c>
      <c r="M119">
        <f>Refund_Compliance[[#This Row],[SaleDate]]-Refund_Compliance[[#This Row],[RefundDate]]</f>
        <v>-34</v>
      </c>
      <c r="N119" s="3">
        <f>Refund_Compliance[[#This Row],[RefundAmount]]/Refund_Compliance[[#This Row],[FareCharged]]</f>
        <v>0.64525225283571019</v>
      </c>
      <c r="O119" t="str">
        <f>IF(Refund_Compliance[[#This Row],[Refund Turnaround Days]]&gt;-14,"SLA Breach","OK")</f>
        <v>OK</v>
      </c>
    </row>
    <row r="120" spans="1:15" x14ac:dyDescent="0.35">
      <c r="A120" s="1" t="s">
        <v>515</v>
      </c>
      <c r="B120" s="1" t="s">
        <v>10</v>
      </c>
      <c r="C120" s="1" t="s">
        <v>25</v>
      </c>
      <c r="D120" s="1" t="s">
        <v>51</v>
      </c>
      <c r="E120">
        <v>170</v>
      </c>
      <c r="F120">
        <v>309</v>
      </c>
      <c r="G120" s="1" t="s">
        <v>13</v>
      </c>
      <c r="H120" s="1" t="s">
        <v>23</v>
      </c>
      <c r="I120" s="2">
        <v>45744</v>
      </c>
      <c r="J120">
        <v>124.94900279342461</v>
      </c>
      <c r="K120" s="2">
        <v>45770</v>
      </c>
      <c r="L120" s="1" t="s">
        <v>531</v>
      </c>
      <c r="M120">
        <f>Refund_Compliance[[#This Row],[SaleDate]]-Refund_Compliance[[#This Row],[RefundDate]]</f>
        <v>-26</v>
      </c>
      <c r="N120" s="3">
        <f>Refund_Compliance[[#This Row],[RefundAmount]]/Refund_Compliance[[#This Row],[FareCharged]]</f>
        <v>0.7349941340789683</v>
      </c>
      <c r="O120" t="str">
        <f>IF(Refund_Compliance[[#This Row],[Refund Turnaround Days]]&gt;-14,"SLA Breach","OK")</f>
        <v>OK</v>
      </c>
    </row>
    <row r="121" spans="1:15" x14ac:dyDescent="0.35">
      <c r="A121" s="1" t="s">
        <v>526</v>
      </c>
      <c r="B121" s="1" t="s">
        <v>16</v>
      </c>
      <c r="C121" s="1" t="s">
        <v>32</v>
      </c>
      <c r="D121" s="1" t="s">
        <v>51</v>
      </c>
      <c r="E121">
        <v>1089</v>
      </c>
      <c r="F121">
        <v>227</v>
      </c>
      <c r="G121" s="1" t="s">
        <v>13</v>
      </c>
      <c r="H121" s="1" t="s">
        <v>14</v>
      </c>
      <c r="I121" s="2">
        <v>45774</v>
      </c>
      <c r="J121">
        <v>1029.18184931213</v>
      </c>
      <c r="K121" s="2">
        <v>45785</v>
      </c>
      <c r="L121" s="1" t="s">
        <v>533</v>
      </c>
      <c r="M121">
        <f>Refund_Compliance[[#This Row],[SaleDate]]-Refund_Compliance[[#This Row],[RefundDate]]</f>
        <v>-11</v>
      </c>
      <c r="N121" s="3">
        <f>Refund_Compliance[[#This Row],[RefundAmount]]/Refund_Compliance[[#This Row],[FareCharged]]</f>
        <v>0.94507056869800732</v>
      </c>
      <c r="O121" t="str">
        <f>IF(Refund_Compliance[[#This Row],[Refund Turnaround Days]]&gt;-14,"SLA Breach","OK")</f>
        <v>SLA Breach</v>
      </c>
    </row>
    <row r="122" spans="1:15" x14ac:dyDescent="0.35">
      <c r="A122" s="1" t="s">
        <v>527</v>
      </c>
      <c r="B122" s="1" t="s">
        <v>10</v>
      </c>
      <c r="C122" s="1" t="s">
        <v>32</v>
      </c>
      <c r="D122" s="1" t="s">
        <v>12</v>
      </c>
      <c r="E122">
        <v>675</v>
      </c>
      <c r="F122">
        <v>112</v>
      </c>
      <c r="G122" s="1" t="s">
        <v>13</v>
      </c>
      <c r="H122" s="1" t="s">
        <v>23</v>
      </c>
      <c r="I122" s="2">
        <v>45778</v>
      </c>
      <c r="J122">
        <v>576.35595571529052</v>
      </c>
      <c r="K122" s="2">
        <v>45787</v>
      </c>
      <c r="L122" s="1" t="s">
        <v>532</v>
      </c>
      <c r="M122">
        <f>Refund_Compliance[[#This Row],[SaleDate]]-Refund_Compliance[[#This Row],[RefundDate]]</f>
        <v>-9</v>
      </c>
      <c r="N122" s="3">
        <f>Refund_Compliance[[#This Row],[RefundAmount]]/Refund_Compliance[[#This Row],[FareCharged]]</f>
        <v>0.85386067513376374</v>
      </c>
      <c r="O122" t="str">
        <f>IF(Refund_Compliance[[#This Row],[Refund Turnaround Days]]&gt;-14,"SLA Breach","OK")</f>
        <v>SLA Breach</v>
      </c>
    </row>
    <row r="123" spans="1:15" x14ac:dyDescent="0.35">
      <c r="A123" s="1"/>
      <c r="B123" s="1"/>
      <c r="C123" s="1"/>
      <c r="D123" s="1"/>
      <c r="G123" s="1"/>
      <c r="H123" s="1"/>
      <c r="I123" s="2"/>
      <c r="K123" s="2"/>
      <c r="L123" s="1"/>
    </row>
    <row r="124" spans="1:15" ht="15" thickBot="1" x14ac:dyDescent="0.4">
      <c r="A124" s="1"/>
      <c r="B124" s="1"/>
      <c r="C124" s="1"/>
      <c r="D124" s="1"/>
      <c r="G124" s="1"/>
      <c r="H124" s="1"/>
      <c r="I124" s="2"/>
      <c r="K124" s="2"/>
      <c r="L124" s="1"/>
    </row>
    <row r="125" spans="1:15" ht="15" thickBot="1" x14ac:dyDescent="0.4">
      <c r="A125" s="13" t="s">
        <v>1067</v>
      </c>
      <c r="B125" s="14"/>
      <c r="C125" s="14"/>
      <c r="D125" s="15"/>
      <c r="G125" s="1"/>
      <c r="H125" s="1"/>
      <c r="I125" s="2"/>
    </row>
    <row r="126" spans="1:15" x14ac:dyDescent="0.35">
      <c r="A126" s="11" t="s">
        <v>1062</v>
      </c>
      <c r="B126" s="12" t="s">
        <v>1065</v>
      </c>
      <c r="C126" s="12" t="s">
        <v>1066</v>
      </c>
      <c r="D126" s="12" t="s">
        <v>1064</v>
      </c>
      <c r="G126" s="1"/>
      <c r="H126" s="1"/>
      <c r="I126" s="2"/>
    </row>
    <row r="127" spans="1:15" x14ac:dyDescent="0.35">
      <c r="A127" s="8" t="s">
        <v>37</v>
      </c>
      <c r="B127" s="9">
        <v>0.72708543651991897</v>
      </c>
      <c r="C127" s="10">
        <v>-352</v>
      </c>
      <c r="D127" s="10">
        <v>14</v>
      </c>
      <c r="G127" s="1"/>
      <c r="H127" s="1"/>
      <c r="I127" s="2"/>
    </row>
    <row r="128" spans="1:15" x14ac:dyDescent="0.35">
      <c r="A128" s="8" t="s">
        <v>16</v>
      </c>
      <c r="B128" s="9">
        <v>0.78329270078192148</v>
      </c>
      <c r="C128" s="10">
        <v>-510</v>
      </c>
      <c r="D128" s="10">
        <v>21</v>
      </c>
      <c r="G128" s="1"/>
      <c r="H128" s="1"/>
      <c r="I128" s="2"/>
    </row>
    <row r="129" spans="1:9" x14ac:dyDescent="0.35">
      <c r="A129" s="8" t="s">
        <v>20</v>
      </c>
      <c r="B129" s="9">
        <v>0.72305911335725648</v>
      </c>
      <c r="C129" s="10">
        <v>-498</v>
      </c>
      <c r="D129" s="10">
        <v>23</v>
      </c>
      <c r="G129" s="1"/>
      <c r="H129" s="1"/>
      <c r="I129" s="2"/>
    </row>
    <row r="130" spans="1:9" x14ac:dyDescent="0.35">
      <c r="A130" s="8" t="s">
        <v>27</v>
      </c>
      <c r="B130" s="9">
        <v>0.77631217583729828</v>
      </c>
      <c r="C130" s="10">
        <v>-273</v>
      </c>
      <c r="D130" s="10">
        <v>15</v>
      </c>
      <c r="G130" s="1"/>
      <c r="H130" s="1"/>
      <c r="I130" s="2"/>
    </row>
    <row r="131" spans="1:9" x14ac:dyDescent="0.35">
      <c r="A131" s="8" t="s">
        <v>10</v>
      </c>
      <c r="B131" s="9">
        <v>0.74716119587126328</v>
      </c>
      <c r="C131" s="10">
        <v>-595</v>
      </c>
      <c r="D131" s="10">
        <v>28</v>
      </c>
      <c r="G131" s="1"/>
      <c r="H131" s="1"/>
      <c r="I131" s="2"/>
    </row>
    <row r="132" spans="1:9" x14ac:dyDescent="0.35">
      <c r="A132" s="8" t="s">
        <v>48</v>
      </c>
      <c r="B132" s="9">
        <v>0.69369297319812939</v>
      </c>
      <c r="C132" s="10">
        <v>-484</v>
      </c>
      <c r="D132" s="10">
        <v>20</v>
      </c>
      <c r="G132" s="1"/>
      <c r="H132" s="1"/>
      <c r="I132" s="2"/>
    </row>
    <row r="133" spans="1:9" x14ac:dyDescent="0.35">
      <c r="A133" s="8" t="s">
        <v>1063</v>
      </c>
      <c r="B133" s="9">
        <v>0.74130378529614527</v>
      </c>
      <c r="C133" s="10">
        <v>-2712</v>
      </c>
      <c r="D133" s="10">
        <v>121</v>
      </c>
      <c r="G133" s="1"/>
      <c r="H133" s="1"/>
      <c r="I133" s="2"/>
    </row>
    <row r="134" spans="1:9" x14ac:dyDescent="0.35">
      <c r="G134" s="1"/>
      <c r="H134" s="1"/>
      <c r="I134" s="2"/>
    </row>
    <row r="135" spans="1:9" x14ac:dyDescent="0.35">
      <c r="G135" s="1"/>
      <c r="H135" s="1"/>
      <c r="I135" s="2"/>
    </row>
    <row r="136" spans="1:9" x14ac:dyDescent="0.35">
      <c r="G136" s="1"/>
      <c r="H136" s="1"/>
      <c r="I136" s="2"/>
    </row>
    <row r="137" spans="1:9" x14ac:dyDescent="0.35">
      <c r="G137" s="1"/>
      <c r="H137" s="1"/>
      <c r="I137" s="2"/>
    </row>
    <row r="138" spans="1:9" x14ac:dyDescent="0.35">
      <c r="G138" s="1"/>
      <c r="H138" s="1"/>
      <c r="I138" s="2"/>
    </row>
    <row r="139" spans="1:9" x14ac:dyDescent="0.35">
      <c r="G139" s="1"/>
      <c r="H139" s="1"/>
      <c r="I139" s="2"/>
    </row>
    <row r="140" spans="1:9" x14ac:dyDescent="0.35">
      <c r="G140" s="1"/>
      <c r="H140" s="1"/>
      <c r="I140" s="2"/>
    </row>
    <row r="141" spans="1:9" x14ac:dyDescent="0.35">
      <c r="G141" s="1"/>
      <c r="H141" s="1"/>
      <c r="I141" s="2"/>
    </row>
    <row r="142" spans="1:9" x14ac:dyDescent="0.35">
      <c r="G142" s="1"/>
      <c r="H142" s="1"/>
      <c r="I142" s="2"/>
    </row>
    <row r="143" spans="1:9" x14ac:dyDescent="0.35">
      <c r="G143" s="1"/>
      <c r="H143" s="1"/>
      <c r="I143" s="2"/>
    </row>
    <row r="144" spans="1:9" x14ac:dyDescent="0.35">
      <c r="G144" s="1"/>
      <c r="H144" s="1"/>
      <c r="I144" s="2"/>
    </row>
    <row r="145" spans="1:9" x14ac:dyDescent="0.35">
      <c r="G145" s="1"/>
      <c r="H145" s="1"/>
      <c r="I145" s="2"/>
    </row>
    <row r="146" spans="1:9" x14ac:dyDescent="0.35">
      <c r="G146" s="1"/>
      <c r="H146" s="1"/>
      <c r="I146" s="2"/>
    </row>
    <row r="147" spans="1:9" x14ac:dyDescent="0.35">
      <c r="G147" s="1"/>
      <c r="H147" s="1"/>
      <c r="I147" s="2"/>
    </row>
    <row r="148" spans="1:9" x14ac:dyDescent="0.35">
      <c r="G148" s="1"/>
      <c r="H148" s="1"/>
      <c r="I148" s="2"/>
    </row>
    <row r="149" spans="1:9" x14ac:dyDescent="0.35">
      <c r="G149" s="1"/>
      <c r="H149" s="1"/>
      <c r="I149" s="2"/>
    </row>
    <row r="150" spans="1:9" x14ac:dyDescent="0.35">
      <c r="G150" s="1"/>
      <c r="H150" s="1"/>
      <c r="I150" s="2"/>
    </row>
    <row r="151" spans="1:9" x14ac:dyDescent="0.35">
      <c r="G151" s="1"/>
      <c r="H151" s="1"/>
      <c r="I151" s="2"/>
    </row>
    <row r="152" spans="1:9" x14ac:dyDescent="0.35">
      <c r="G152" s="1"/>
      <c r="H152" s="1"/>
      <c r="I152" s="2"/>
    </row>
    <row r="153" spans="1:9" x14ac:dyDescent="0.35">
      <c r="G153" s="1"/>
      <c r="H153" s="1"/>
      <c r="I153" s="2"/>
    </row>
    <row r="154" spans="1:9" x14ac:dyDescent="0.35">
      <c r="G154" s="1"/>
      <c r="H154" s="1"/>
      <c r="I154" s="2"/>
    </row>
    <row r="155" spans="1:9" x14ac:dyDescent="0.35">
      <c r="G155" s="1"/>
      <c r="H155" s="1"/>
      <c r="I155" s="2"/>
    </row>
    <row r="156" spans="1:9" x14ac:dyDescent="0.35">
      <c r="G156" s="1"/>
      <c r="H156" s="1"/>
      <c r="I156" s="2"/>
    </row>
    <row r="157" spans="1:9" x14ac:dyDescent="0.35">
      <c r="G157" s="1"/>
      <c r="H157" s="1"/>
      <c r="I157" s="2"/>
    </row>
    <row r="158" spans="1:9" x14ac:dyDescent="0.35">
      <c r="A158" s="1"/>
      <c r="B158" s="1"/>
      <c r="C158" s="1"/>
      <c r="D158" s="1"/>
      <c r="G158" s="1"/>
      <c r="H158" s="1"/>
      <c r="I158" s="2"/>
    </row>
    <row r="159" spans="1:9" x14ac:dyDescent="0.35">
      <c r="A159" s="1"/>
      <c r="B159" s="1"/>
      <c r="C159" s="1"/>
      <c r="D159" s="1"/>
      <c r="G159" s="1"/>
      <c r="H159" s="1"/>
      <c r="I159" s="2"/>
    </row>
    <row r="160" spans="1:9" x14ac:dyDescent="0.35">
      <c r="A160" s="1"/>
      <c r="B160" s="1"/>
      <c r="C160" s="1"/>
      <c r="D160" s="1"/>
      <c r="G160" s="1"/>
      <c r="H160" s="1"/>
      <c r="I160" s="2"/>
    </row>
    <row r="161" spans="1:9" x14ac:dyDescent="0.35">
      <c r="A161" s="1"/>
      <c r="B161" s="1"/>
      <c r="C161" s="1"/>
      <c r="D161" s="1"/>
      <c r="G161" s="1"/>
      <c r="H161" s="1"/>
      <c r="I161" s="2"/>
    </row>
    <row r="162" spans="1:9" x14ac:dyDescent="0.35">
      <c r="A162" s="1"/>
      <c r="B162" s="1"/>
      <c r="C162" s="1"/>
      <c r="D162" s="1"/>
      <c r="G162" s="1"/>
      <c r="H162" s="1"/>
      <c r="I162" s="2"/>
    </row>
    <row r="163" spans="1:9" x14ac:dyDescent="0.35">
      <c r="A163" s="1"/>
      <c r="B163" s="1"/>
      <c r="C163" s="1"/>
      <c r="D163" s="1"/>
      <c r="G163" s="1"/>
      <c r="H163" s="1"/>
      <c r="I163" s="2"/>
    </row>
    <row r="164" spans="1:9" x14ac:dyDescent="0.35">
      <c r="A164" s="1"/>
      <c r="B164" s="1"/>
      <c r="C164" s="1"/>
      <c r="D164" s="1"/>
      <c r="G164" s="1"/>
      <c r="H164" s="1"/>
      <c r="I164" s="2"/>
    </row>
    <row r="165" spans="1:9" x14ac:dyDescent="0.35">
      <c r="A165" s="1"/>
      <c r="B165" s="1"/>
      <c r="C165" s="1"/>
      <c r="D165" s="1"/>
      <c r="G165" s="1"/>
      <c r="H165" s="1"/>
      <c r="I165" s="2"/>
    </row>
    <row r="166" spans="1:9" x14ac:dyDescent="0.35">
      <c r="A166" s="1"/>
      <c r="B166" s="1"/>
      <c r="C166" s="1"/>
      <c r="D166" s="1"/>
      <c r="G166" s="1"/>
      <c r="H166" s="1"/>
      <c r="I166" s="2"/>
    </row>
    <row r="167" spans="1:9" x14ac:dyDescent="0.35">
      <c r="A167" s="1"/>
      <c r="B167" s="1"/>
      <c r="C167" s="1"/>
      <c r="D167" s="1"/>
      <c r="G167" s="1"/>
      <c r="H167" s="1"/>
      <c r="I167" s="2"/>
    </row>
    <row r="168" spans="1:9" x14ac:dyDescent="0.35">
      <c r="A168" s="1"/>
      <c r="B168" s="1"/>
      <c r="C168" s="1"/>
      <c r="D168" s="1"/>
      <c r="G168" s="1"/>
      <c r="H168" s="1"/>
      <c r="I168" s="2"/>
    </row>
    <row r="169" spans="1:9" x14ac:dyDescent="0.35">
      <c r="A169" s="1"/>
      <c r="B169" s="1"/>
      <c r="C169" s="1"/>
      <c r="D169" s="1"/>
      <c r="G169" s="1"/>
      <c r="H169" s="1"/>
      <c r="I169" s="2"/>
    </row>
    <row r="170" spans="1:9" x14ac:dyDescent="0.35">
      <c r="A170" s="1"/>
      <c r="B170" s="1"/>
      <c r="C170" s="1"/>
      <c r="D170" s="1"/>
      <c r="G170" s="1"/>
      <c r="H170" s="1"/>
      <c r="I170" s="2"/>
    </row>
    <row r="171" spans="1:9" x14ac:dyDescent="0.35">
      <c r="A171" s="1"/>
      <c r="B171" s="1"/>
      <c r="C171" s="1"/>
      <c r="D171" s="1"/>
      <c r="G171" s="1"/>
      <c r="H171" s="1"/>
      <c r="I171" s="2"/>
    </row>
    <row r="172" spans="1:9" x14ac:dyDescent="0.35">
      <c r="A172" s="1"/>
      <c r="B172" s="1"/>
      <c r="C172" s="1"/>
      <c r="D172" s="1"/>
      <c r="G172" s="1"/>
      <c r="H172" s="1"/>
      <c r="I172" s="2"/>
    </row>
    <row r="173" spans="1:9" x14ac:dyDescent="0.35">
      <c r="A173" s="1"/>
      <c r="B173" s="1"/>
      <c r="C173" s="1"/>
      <c r="D173" s="1"/>
      <c r="G173" s="1"/>
      <c r="H173" s="1"/>
      <c r="I173" s="2"/>
    </row>
    <row r="174" spans="1:9" x14ac:dyDescent="0.35">
      <c r="A174" s="1"/>
      <c r="B174" s="1"/>
      <c r="C174" s="1"/>
      <c r="D174" s="1"/>
      <c r="G174" s="1"/>
      <c r="H174" s="1"/>
      <c r="I174" s="2"/>
    </row>
    <row r="175" spans="1:9" x14ac:dyDescent="0.35">
      <c r="A175" s="1"/>
      <c r="B175" s="1"/>
      <c r="C175" s="1"/>
      <c r="D175" s="1"/>
      <c r="G175" s="1"/>
      <c r="H175" s="1"/>
      <c r="I175" s="2"/>
    </row>
    <row r="176" spans="1:9" x14ac:dyDescent="0.35">
      <c r="A176" s="1"/>
      <c r="B176" s="1"/>
      <c r="C176" s="1"/>
      <c r="D176" s="1"/>
      <c r="G176" s="1"/>
      <c r="H176" s="1"/>
      <c r="I176" s="2"/>
    </row>
    <row r="177" spans="1:9" x14ac:dyDescent="0.35">
      <c r="A177" s="1"/>
      <c r="B177" s="1"/>
      <c r="C177" s="1"/>
      <c r="D177" s="1"/>
      <c r="G177" s="1"/>
      <c r="H177" s="1"/>
      <c r="I177" s="2"/>
    </row>
    <row r="178" spans="1:9" x14ac:dyDescent="0.35">
      <c r="A178" s="1"/>
      <c r="B178" s="1"/>
      <c r="C178" s="1"/>
      <c r="D178" s="1"/>
      <c r="G178" s="1"/>
      <c r="H178" s="1"/>
      <c r="I178" s="2"/>
    </row>
    <row r="179" spans="1:9" x14ac:dyDescent="0.35">
      <c r="A179" s="1"/>
      <c r="B179" s="1"/>
      <c r="C179" s="1"/>
      <c r="D179" s="1"/>
      <c r="G179" s="1"/>
      <c r="H179" s="1"/>
      <c r="I179" s="2"/>
    </row>
    <row r="180" spans="1:9" x14ac:dyDescent="0.35">
      <c r="A180" s="1"/>
      <c r="B180" s="1"/>
      <c r="C180" s="1"/>
      <c r="D180" s="1"/>
      <c r="G180" s="1"/>
      <c r="H180" s="1"/>
      <c r="I180" s="2"/>
    </row>
    <row r="181" spans="1:9" x14ac:dyDescent="0.35">
      <c r="A181" s="1"/>
      <c r="B181" s="1"/>
      <c r="C181" s="1"/>
      <c r="D181" s="1"/>
      <c r="G181" s="1"/>
      <c r="H181" s="1"/>
      <c r="I181" s="2"/>
    </row>
    <row r="182" spans="1:9" x14ac:dyDescent="0.35">
      <c r="A182" s="1"/>
      <c r="B182" s="1"/>
      <c r="C182" s="1"/>
      <c r="D182" s="1"/>
      <c r="G182" s="1"/>
      <c r="H182" s="1"/>
      <c r="I182" s="2"/>
    </row>
    <row r="183" spans="1:9" x14ac:dyDescent="0.35">
      <c r="A183" s="1"/>
      <c r="B183" s="1"/>
      <c r="C183" s="1"/>
      <c r="D183" s="1"/>
      <c r="G183" s="1"/>
      <c r="H183" s="1"/>
      <c r="I183" s="2"/>
    </row>
    <row r="184" spans="1:9" x14ac:dyDescent="0.35">
      <c r="A184" s="1"/>
      <c r="B184" s="1"/>
      <c r="C184" s="1"/>
      <c r="D184" s="1"/>
      <c r="G184" s="1"/>
      <c r="H184" s="1"/>
      <c r="I184" s="2"/>
    </row>
    <row r="185" spans="1:9" x14ac:dyDescent="0.35">
      <c r="A185" s="1"/>
      <c r="B185" s="1"/>
      <c r="C185" s="1"/>
      <c r="D185" s="1"/>
      <c r="G185" s="1"/>
      <c r="H185" s="1"/>
      <c r="I185" s="2"/>
    </row>
    <row r="186" spans="1:9" x14ac:dyDescent="0.35">
      <c r="A186" s="1"/>
      <c r="B186" s="1"/>
      <c r="C186" s="1"/>
      <c r="D186" s="1"/>
      <c r="G186" s="1"/>
      <c r="H186" s="1"/>
      <c r="I186" s="2"/>
    </row>
    <row r="187" spans="1:9" x14ac:dyDescent="0.35">
      <c r="A187" s="1"/>
      <c r="B187" s="1"/>
      <c r="C187" s="1"/>
      <c r="D187" s="1"/>
      <c r="G187" s="1"/>
      <c r="H187" s="1"/>
      <c r="I187" s="2"/>
    </row>
    <row r="188" spans="1:9" x14ac:dyDescent="0.35">
      <c r="A188" s="1"/>
      <c r="B188" s="1"/>
      <c r="C188" s="1"/>
      <c r="D188" s="1"/>
      <c r="G188" s="1"/>
      <c r="H188" s="1"/>
      <c r="I188" s="2"/>
    </row>
    <row r="189" spans="1:9" x14ac:dyDescent="0.35">
      <c r="A189" s="1"/>
      <c r="B189" s="1"/>
      <c r="C189" s="1"/>
      <c r="D189" s="1"/>
      <c r="G189" s="1"/>
      <c r="H189" s="1"/>
      <c r="I189" s="2"/>
    </row>
    <row r="190" spans="1:9" x14ac:dyDescent="0.35">
      <c r="A190" s="1"/>
      <c r="B190" s="1"/>
      <c r="C190" s="1"/>
      <c r="D190" s="1"/>
      <c r="G190" s="1"/>
      <c r="H190" s="1"/>
      <c r="I190" s="2"/>
    </row>
    <row r="191" spans="1:9" x14ac:dyDescent="0.35">
      <c r="A191" s="1"/>
      <c r="B191" s="1"/>
      <c r="C191" s="1"/>
      <c r="D191" s="1"/>
      <c r="G191" s="1"/>
      <c r="H191" s="1"/>
      <c r="I191" s="2"/>
    </row>
    <row r="192" spans="1:9" x14ac:dyDescent="0.35">
      <c r="A192" s="1"/>
      <c r="B192" s="1"/>
      <c r="C192" s="1"/>
      <c r="D192" s="1"/>
      <c r="G192" s="1"/>
      <c r="H192" s="1"/>
      <c r="I192" s="2"/>
    </row>
    <row r="193" spans="1:9" x14ac:dyDescent="0.35">
      <c r="A193" s="1"/>
      <c r="B193" s="1"/>
      <c r="C193" s="1"/>
      <c r="D193" s="1"/>
      <c r="G193" s="1"/>
      <c r="H193" s="1"/>
      <c r="I193" s="2"/>
    </row>
    <row r="194" spans="1:9" x14ac:dyDescent="0.35">
      <c r="A194" s="1"/>
      <c r="B194" s="1"/>
      <c r="C194" s="1"/>
      <c r="D194" s="1"/>
      <c r="G194" s="1"/>
      <c r="H194" s="1"/>
      <c r="I194" s="2"/>
    </row>
    <row r="195" spans="1:9" x14ac:dyDescent="0.35">
      <c r="A195" s="1"/>
      <c r="B195" s="1"/>
      <c r="C195" s="1"/>
      <c r="D195" s="1"/>
      <c r="G195" s="1"/>
      <c r="H195" s="1"/>
      <c r="I195" s="2"/>
    </row>
    <row r="196" spans="1:9" x14ac:dyDescent="0.35">
      <c r="A196" s="1"/>
      <c r="B196" s="1"/>
      <c r="C196" s="1"/>
      <c r="D196" s="1"/>
      <c r="G196" s="1"/>
      <c r="H196" s="1"/>
      <c r="I196" s="2"/>
    </row>
    <row r="197" spans="1:9" x14ac:dyDescent="0.35">
      <c r="A197" s="1"/>
      <c r="B197" s="1"/>
      <c r="C197" s="1"/>
      <c r="D197" s="1"/>
      <c r="G197" s="1"/>
      <c r="H197" s="1"/>
      <c r="I197" s="2"/>
    </row>
    <row r="198" spans="1:9" x14ac:dyDescent="0.35">
      <c r="A198" s="1"/>
      <c r="B198" s="1"/>
      <c r="C198" s="1"/>
      <c r="D198" s="1"/>
      <c r="G198" s="1"/>
      <c r="H198" s="1"/>
      <c r="I198" s="2"/>
    </row>
    <row r="199" spans="1:9" x14ac:dyDescent="0.35">
      <c r="A199" s="1"/>
      <c r="B199" s="1"/>
      <c r="C199" s="1"/>
      <c r="D199" s="1"/>
      <c r="G199" s="1"/>
      <c r="H199" s="1"/>
      <c r="I199" s="2"/>
    </row>
    <row r="200" spans="1:9" x14ac:dyDescent="0.35">
      <c r="A200" s="1"/>
      <c r="B200" s="1"/>
      <c r="C200" s="1"/>
      <c r="D200" s="1"/>
      <c r="G200" s="1"/>
      <c r="H200" s="1"/>
      <c r="I200" s="2"/>
    </row>
    <row r="201" spans="1:9" x14ac:dyDescent="0.35">
      <c r="A201" s="1"/>
      <c r="B201" s="1"/>
      <c r="C201" s="1"/>
      <c r="D201" s="1"/>
      <c r="G201" s="1"/>
      <c r="H201" s="1"/>
      <c r="I201" s="2"/>
    </row>
    <row r="202" spans="1:9" x14ac:dyDescent="0.35">
      <c r="A202" s="1"/>
      <c r="B202" s="1"/>
      <c r="C202" s="1"/>
      <c r="D202" s="1"/>
      <c r="G202" s="1"/>
      <c r="H202" s="1"/>
      <c r="I202" s="2"/>
    </row>
    <row r="203" spans="1:9" x14ac:dyDescent="0.35">
      <c r="A203" s="1"/>
      <c r="B203" s="1"/>
      <c r="C203" s="1"/>
      <c r="D203" s="1"/>
      <c r="G203" s="1"/>
      <c r="H203" s="1"/>
      <c r="I203" s="2"/>
    </row>
    <row r="204" spans="1:9" x14ac:dyDescent="0.35">
      <c r="A204" s="1"/>
      <c r="B204" s="1"/>
      <c r="C204" s="1"/>
      <c r="D204" s="1"/>
      <c r="G204" s="1"/>
      <c r="H204" s="1"/>
      <c r="I204" s="2"/>
    </row>
    <row r="205" spans="1:9" x14ac:dyDescent="0.35">
      <c r="A205" s="1"/>
      <c r="B205" s="1"/>
      <c r="C205" s="1"/>
      <c r="D205" s="1"/>
      <c r="G205" s="1"/>
      <c r="H205" s="1"/>
      <c r="I205" s="2"/>
    </row>
    <row r="206" spans="1:9" x14ac:dyDescent="0.35">
      <c r="A206" s="1"/>
      <c r="B206" s="1"/>
      <c r="C206" s="1"/>
      <c r="D206" s="1"/>
      <c r="G206" s="1"/>
      <c r="H206" s="1"/>
      <c r="I206" s="2"/>
    </row>
    <row r="207" spans="1:9" x14ac:dyDescent="0.35">
      <c r="A207" s="1"/>
      <c r="B207" s="1"/>
      <c r="C207" s="1"/>
      <c r="D207" s="1"/>
      <c r="G207" s="1"/>
      <c r="H207" s="1"/>
      <c r="I207" s="2"/>
    </row>
    <row r="208" spans="1:9" x14ac:dyDescent="0.35">
      <c r="A208" s="1"/>
      <c r="B208" s="1"/>
      <c r="C208" s="1"/>
      <c r="D208" s="1"/>
      <c r="G208" s="1"/>
      <c r="H208" s="1"/>
      <c r="I208" s="2"/>
    </row>
    <row r="209" spans="1:9" x14ac:dyDescent="0.35">
      <c r="A209" s="1"/>
      <c r="B209" s="1"/>
      <c r="C209" s="1"/>
      <c r="D209" s="1"/>
      <c r="G209" s="1"/>
      <c r="H209" s="1"/>
      <c r="I209" s="2"/>
    </row>
    <row r="210" spans="1:9" x14ac:dyDescent="0.35">
      <c r="A210" s="1"/>
      <c r="B210" s="1"/>
      <c r="C210" s="1"/>
      <c r="D210" s="1"/>
      <c r="G210" s="1"/>
      <c r="H210" s="1"/>
      <c r="I210" s="2"/>
    </row>
    <row r="211" spans="1:9" x14ac:dyDescent="0.35">
      <c r="A211" s="1"/>
      <c r="B211" s="1"/>
      <c r="C211" s="1"/>
      <c r="D211" s="1"/>
      <c r="G211" s="1"/>
      <c r="H211" s="1"/>
      <c r="I211" s="2"/>
    </row>
    <row r="212" spans="1:9" x14ac:dyDescent="0.35">
      <c r="A212" s="1"/>
      <c r="B212" s="1"/>
      <c r="C212" s="1"/>
      <c r="D212" s="1"/>
      <c r="G212" s="1"/>
      <c r="H212" s="1"/>
      <c r="I212" s="2"/>
    </row>
    <row r="213" spans="1:9" x14ac:dyDescent="0.35">
      <c r="A213" s="1"/>
      <c r="B213" s="1"/>
      <c r="C213" s="1"/>
      <c r="D213" s="1"/>
      <c r="G213" s="1"/>
      <c r="H213" s="1"/>
      <c r="I213" s="2"/>
    </row>
    <row r="214" spans="1:9" x14ac:dyDescent="0.35">
      <c r="A214" s="1"/>
      <c r="B214" s="1"/>
      <c r="C214" s="1"/>
      <c r="D214" s="1"/>
      <c r="G214" s="1"/>
      <c r="H214" s="1"/>
      <c r="I214" s="2"/>
    </row>
    <row r="215" spans="1:9" x14ac:dyDescent="0.35">
      <c r="A215" s="1"/>
      <c r="B215" s="1"/>
      <c r="C215" s="1"/>
      <c r="D215" s="1"/>
      <c r="G215" s="1"/>
      <c r="H215" s="1"/>
      <c r="I215" s="2"/>
    </row>
    <row r="216" spans="1:9" x14ac:dyDescent="0.35">
      <c r="A216" s="1"/>
      <c r="B216" s="1"/>
      <c r="C216" s="1"/>
      <c r="D216" s="1"/>
      <c r="G216" s="1"/>
      <c r="H216" s="1"/>
      <c r="I216" s="2"/>
    </row>
    <row r="217" spans="1:9" x14ac:dyDescent="0.35">
      <c r="A217" s="1"/>
      <c r="B217" s="1"/>
      <c r="C217" s="1"/>
      <c r="D217" s="1"/>
      <c r="G217" s="1"/>
      <c r="H217" s="1"/>
      <c r="I217" s="2"/>
    </row>
    <row r="218" spans="1:9" x14ac:dyDescent="0.35">
      <c r="A218" s="1"/>
      <c r="B218" s="1"/>
      <c r="C218" s="1"/>
      <c r="D218" s="1"/>
      <c r="G218" s="1"/>
      <c r="H218" s="1"/>
      <c r="I218" s="2"/>
    </row>
    <row r="219" spans="1:9" x14ac:dyDescent="0.35">
      <c r="A219" s="1"/>
      <c r="B219" s="1"/>
      <c r="C219" s="1"/>
      <c r="D219" s="1"/>
      <c r="G219" s="1"/>
      <c r="H219" s="1"/>
      <c r="I219" s="2"/>
    </row>
    <row r="220" spans="1:9" x14ac:dyDescent="0.35">
      <c r="A220" s="1"/>
      <c r="B220" s="1"/>
      <c r="C220" s="1"/>
      <c r="D220" s="1"/>
      <c r="G220" s="1"/>
      <c r="H220" s="1"/>
      <c r="I220" s="2"/>
    </row>
    <row r="221" spans="1:9" x14ac:dyDescent="0.35">
      <c r="A221" s="1"/>
      <c r="B221" s="1"/>
      <c r="C221" s="1"/>
      <c r="D221" s="1"/>
      <c r="G221" s="1"/>
      <c r="H221" s="1"/>
      <c r="I221" s="2"/>
    </row>
    <row r="222" spans="1:9" x14ac:dyDescent="0.35">
      <c r="A222" s="1"/>
      <c r="B222" s="1"/>
      <c r="C222" s="1"/>
      <c r="D222" s="1"/>
      <c r="G222" s="1"/>
      <c r="H222" s="1"/>
      <c r="I222" s="2"/>
    </row>
    <row r="223" spans="1:9" x14ac:dyDescent="0.35">
      <c r="A223" s="1"/>
      <c r="B223" s="1"/>
      <c r="C223" s="1"/>
      <c r="D223" s="1"/>
      <c r="G223" s="1"/>
      <c r="H223" s="1"/>
      <c r="I223" s="2"/>
    </row>
    <row r="224" spans="1:9" x14ac:dyDescent="0.35">
      <c r="A224" s="1"/>
      <c r="B224" s="1"/>
      <c r="C224" s="1"/>
      <c r="D224" s="1"/>
      <c r="G224" s="1"/>
      <c r="H224" s="1"/>
      <c r="I224" s="2"/>
    </row>
    <row r="225" spans="1:9" x14ac:dyDescent="0.35">
      <c r="A225" s="1"/>
      <c r="B225" s="1"/>
      <c r="C225" s="1"/>
      <c r="D225" s="1"/>
      <c r="G225" s="1"/>
      <c r="H225" s="1"/>
      <c r="I225" s="2"/>
    </row>
    <row r="226" spans="1:9" x14ac:dyDescent="0.35">
      <c r="A226" s="1"/>
      <c r="B226" s="1"/>
      <c r="C226" s="1"/>
      <c r="D226" s="1"/>
      <c r="G226" s="1"/>
      <c r="H226" s="1"/>
      <c r="I226" s="2"/>
    </row>
    <row r="227" spans="1:9" x14ac:dyDescent="0.35">
      <c r="A227" s="1"/>
      <c r="B227" s="1"/>
      <c r="C227" s="1"/>
      <c r="D227" s="1"/>
      <c r="G227" s="1"/>
      <c r="H227" s="1"/>
      <c r="I227" s="2"/>
    </row>
    <row r="228" spans="1:9" x14ac:dyDescent="0.35">
      <c r="A228" s="1"/>
      <c r="B228" s="1"/>
      <c r="C228" s="1"/>
      <c r="D228" s="1"/>
      <c r="G228" s="1"/>
      <c r="H228" s="1"/>
      <c r="I228" s="2"/>
    </row>
    <row r="229" spans="1:9" x14ac:dyDescent="0.35">
      <c r="A229" s="1"/>
      <c r="B229" s="1"/>
      <c r="C229" s="1"/>
      <c r="D229" s="1"/>
      <c r="G229" s="1"/>
      <c r="H229" s="1"/>
      <c r="I229" s="2"/>
    </row>
    <row r="230" spans="1:9" x14ac:dyDescent="0.35">
      <c r="A230" s="1"/>
      <c r="B230" s="1"/>
      <c r="C230" s="1"/>
      <c r="D230" s="1"/>
      <c r="G230" s="1"/>
      <c r="H230" s="1"/>
      <c r="I230" s="2"/>
    </row>
    <row r="231" spans="1:9" x14ac:dyDescent="0.35">
      <c r="A231" s="1"/>
      <c r="B231" s="1"/>
      <c r="C231" s="1"/>
      <c r="D231" s="1"/>
      <c r="G231" s="1"/>
      <c r="H231" s="1"/>
      <c r="I231" s="2"/>
    </row>
    <row r="232" spans="1:9" x14ac:dyDescent="0.35">
      <c r="A232" s="1"/>
      <c r="B232" s="1"/>
      <c r="C232" s="1"/>
      <c r="D232" s="1"/>
      <c r="G232" s="1"/>
      <c r="H232" s="1"/>
      <c r="I232" s="2"/>
    </row>
    <row r="233" spans="1:9" x14ac:dyDescent="0.35">
      <c r="A233" s="1"/>
      <c r="B233" s="1"/>
      <c r="C233" s="1"/>
      <c r="D233" s="1"/>
      <c r="G233" s="1"/>
      <c r="H233" s="1"/>
      <c r="I233" s="2"/>
    </row>
    <row r="234" spans="1:9" x14ac:dyDescent="0.35">
      <c r="A234" s="1"/>
      <c r="B234" s="1"/>
      <c r="C234" s="1"/>
      <c r="D234" s="1"/>
      <c r="G234" s="1"/>
      <c r="H234" s="1"/>
      <c r="I234" s="2"/>
    </row>
    <row r="235" spans="1:9" x14ac:dyDescent="0.35">
      <c r="A235" s="1"/>
      <c r="B235" s="1"/>
      <c r="C235" s="1"/>
      <c r="D235" s="1"/>
      <c r="G235" s="1"/>
      <c r="H235" s="1"/>
      <c r="I235" s="2"/>
    </row>
    <row r="236" spans="1:9" x14ac:dyDescent="0.35">
      <c r="A236" s="1"/>
      <c r="B236" s="1"/>
      <c r="C236" s="1"/>
      <c r="D236" s="1"/>
      <c r="G236" s="1"/>
      <c r="H236" s="1"/>
      <c r="I236" s="2"/>
    </row>
    <row r="237" spans="1:9" x14ac:dyDescent="0.35">
      <c r="A237" s="1"/>
      <c r="B237" s="1"/>
      <c r="C237" s="1"/>
      <c r="D237" s="1"/>
      <c r="G237" s="1"/>
      <c r="H237" s="1"/>
      <c r="I237" s="2"/>
    </row>
    <row r="238" spans="1:9" x14ac:dyDescent="0.35">
      <c r="A238" s="1"/>
      <c r="B238" s="1"/>
      <c r="C238" s="1"/>
      <c r="D238" s="1"/>
      <c r="G238" s="1"/>
      <c r="H238" s="1"/>
      <c r="I238" s="2"/>
    </row>
    <row r="239" spans="1:9" x14ac:dyDescent="0.35">
      <c r="A239" s="1"/>
      <c r="B239" s="1"/>
      <c r="C239" s="1"/>
      <c r="D239" s="1"/>
      <c r="G239" s="1"/>
      <c r="H239" s="1"/>
      <c r="I239" s="2"/>
    </row>
    <row r="240" spans="1:9" x14ac:dyDescent="0.35">
      <c r="A240" s="1"/>
      <c r="B240" s="1"/>
      <c r="C240" s="1"/>
      <c r="D240" s="1"/>
      <c r="G240" s="1"/>
      <c r="H240" s="1"/>
      <c r="I240" s="2"/>
    </row>
    <row r="241" spans="1:9" x14ac:dyDescent="0.35">
      <c r="A241" s="1"/>
      <c r="B241" s="1"/>
      <c r="C241" s="1"/>
      <c r="D241" s="1"/>
      <c r="G241" s="1"/>
      <c r="H241" s="1"/>
      <c r="I241" s="2"/>
    </row>
    <row r="242" spans="1:9" x14ac:dyDescent="0.35">
      <c r="A242" s="1"/>
      <c r="B242" s="1"/>
      <c r="C242" s="1"/>
      <c r="D242" s="1"/>
      <c r="G242" s="1"/>
      <c r="H242" s="1"/>
      <c r="I242" s="2"/>
    </row>
    <row r="243" spans="1:9" x14ac:dyDescent="0.35">
      <c r="A243" s="1"/>
      <c r="B243" s="1"/>
      <c r="C243" s="1"/>
      <c r="D243" s="1"/>
      <c r="G243" s="1"/>
      <c r="H243" s="1"/>
      <c r="I243" s="2"/>
    </row>
    <row r="244" spans="1:9" x14ac:dyDescent="0.35">
      <c r="A244" s="1"/>
      <c r="B244" s="1"/>
      <c r="C244" s="1"/>
      <c r="D244" s="1"/>
      <c r="G244" s="1"/>
      <c r="H244" s="1"/>
      <c r="I244" s="2"/>
    </row>
    <row r="245" spans="1:9" x14ac:dyDescent="0.35">
      <c r="A245" s="1"/>
      <c r="B245" s="1"/>
      <c r="C245" s="1"/>
      <c r="D245" s="1"/>
      <c r="G245" s="1"/>
      <c r="H245" s="1"/>
      <c r="I245" s="2"/>
    </row>
    <row r="246" spans="1:9" x14ac:dyDescent="0.35">
      <c r="A246" s="1"/>
      <c r="B246" s="1"/>
      <c r="C246" s="1"/>
      <c r="D246" s="1"/>
      <c r="G246" s="1"/>
      <c r="H246" s="1"/>
      <c r="I246" s="2"/>
    </row>
    <row r="247" spans="1:9" x14ac:dyDescent="0.35">
      <c r="A247" s="1"/>
      <c r="B247" s="1"/>
      <c r="C247" s="1"/>
      <c r="D247" s="1"/>
      <c r="G247" s="1"/>
      <c r="H247" s="1"/>
      <c r="I247" s="2"/>
    </row>
    <row r="248" spans="1:9" x14ac:dyDescent="0.35">
      <c r="A248" s="1"/>
      <c r="B248" s="1"/>
      <c r="C248" s="1"/>
      <c r="D248" s="1"/>
      <c r="G248" s="1"/>
      <c r="H248" s="1"/>
      <c r="I248" s="2"/>
    </row>
    <row r="249" spans="1:9" x14ac:dyDescent="0.35">
      <c r="A249" s="1"/>
      <c r="B249" s="1"/>
      <c r="C249" s="1"/>
      <c r="D249" s="1"/>
      <c r="G249" s="1"/>
      <c r="H249" s="1"/>
      <c r="I249" s="2"/>
    </row>
    <row r="250" spans="1:9" x14ac:dyDescent="0.35">
      <c r="A250" s="1"/>
      <c r="B250" s="1"/>
      <c r="C250" s="1"/>
      <c r="D250" s="1"/>
      <c r="G250" s="1"/>
      <c r="H250" s="1"/>
      <c r="I250" s="2"/>
    </row>
    <row r="251" spans="1:9" x14ac:dyDescent="0.35">
      <c r="A251" s="1"/>
      <c r="B251" s="1"/>
      <c r="C251" s="1"/>
      <c r="D251" s="1"/>
      <c r="G251" s="1"/>
      <c r="H251" s="1"/>
      <c r="I251" s="2"/>
    </row>
    <row r="252" spans="1:9" x14ac:dyDescent="0.35">
      <c r="A252" s="1"/>
      <c r="B252" s="1"/>
      <c r="C252" s="1"/>
      <c r="D252" s="1"/>
      <c r="G252" s="1"/>
      <c r="H252" s="1"/>
      <c r="I252" s="2"/>
    </row>
    <row r="253" spans="1:9" x14ac:dyDescent="0.35">
      <c r="A253" s="1"/>
      <c r="B253" s="1"/>
      <c r="C253" s="1"/>
      <c r="D253" s="1"/>
      <c r="G253" s="1"/>
      <c r="H253" s="1"/>
      <c r="I253" s="2"/>
    </row>
    <row r="254" spans="1:9" x14ac:dyDescent="0.35">
      <c r="A254" s="1"/>
      <c r="B254" s="1"/>
      <c r="C254" s="1"/>
      <c r="D254" s="1"/>
      <c r="G254" s="1"/>
      <c r="H254" s="1"/>
      <c r="I254" s="2"/>
    </row>
    <row r="255" spans="1:9" x14ac:dyDescent="0.35">
      <c r="A255" s="1"/>
      <c r="B255" s="1"/>
      <c r="C255" s="1"/>
      <c r="D255" s="1"/>
      <c r="G255" s="1"/>
      <c r="H255" s="1"/>
      <c r="I255" s="2"/>
    </row>
    <row r="256" spans="1:9" x14ac:dyDescent="0.35">
      <c r="A256" s="1"/>
      <c r="B256" s="1"/>
      <c r="C256" s="1"/>
      <c r="D256" s="1"/>
      <c r="G256" s="1"/>
      <c r="H256" s="1"/>
      <c r="I256" s="2"/>
    </row>
    <row r="257" spans="1:9" x14ac:dyDescent="0.35">
      <c r="A257" s="1"/>
      <c r="B257" s="1"/>
      <c r="C257" s="1"/>
      <c r="D257" s="1"/>
      <c r="G257" s="1"/>
      <c r="H257" s="1"/>
      <c r="I257" s="2"/>
    </row>
    <row r="258" spans="1:9" x14ac:dyDescent="0.35">
      <c r="A258" s="1"/>
      <c r="B258" s="1"/>
      <c r="C258" s="1"/>
      <c r="D258" s="1"/>
      <c r="G258" s="1"/>
      <c r="H258" s="1"/>
      <c r="I258" s="2"/>
    </row>
    <row r="259" spans="1:9" x14ac:dyDescent="0.35">
      <c r="A259" s="1"/>
      <c r="B259" s="1"/>
      <c r="C259" s="1"/>
      <c r="D259" s="1"/>
      <c r="G259" s="1"/>
      <c r="H259" s="1"/>
      <c r="I259" s="2"/>
    </row>
    <row r="260" spans="1:9" x14ac:dyDescent="0.35">
      <c r="A260" s="1"/>
      <c r="B260" s="1"/>
      <c r="C260" s="1"/>
      <c r="D260" s="1"/>
      <c r="G260" s="1"/>
      <c r="H260" s="1"/>
      <c r="I260" s="2"/>
    </row>
    <row r="261" spans="1:9" x14ac:dyDescent="0.35">
      <c r="A261" s="1"/>
      <c r="B261" s="1"/>
      <c r="C261" s="1"/>
      <c r="D261" s="1"/>
      <c r="G261" s="1"/>
      <c r="H261" s="1"/>
      <c r="I261" s="2"/>
    </row>
    <row r="262" spans="1:9" x14ac:dyDescent="0.35">
      <c r="A262" s="1"/>
      <c r="B262" s="1"/>
      <c r="C262" s="1"/>
      <c r="D262" s="1"/>
      <c r="G262" s="1"/>
      <c r="H262" s="1"/>
      <c r="I262" s="2"/>
    </row>
    <row r="263" spans="1:9" x14ac:dyDescent="0.35">
      <c r="A263" s="1"/>
      <c r="B263" s="1"/>
      <c r="C263" s="1"/>
      <c r="D263" s="1"/>
      <c r="G263" s="1"/>
      <c r="H263" s="1"/>
      <c r="I263" s="2"/>
    </row>
    <row r="264" spans="1:9" x14ac:dyDescent="0.35">
      <c r="A264" s="1"/>
      <c r="B264" s="1"/>
      <c r="C264" s="1"/>
      <c r="D264" s="1"/>
      <c r="G264" s="1"/>
      <c r="H264" s="1"/>
      <c r="I264" s="2"/>
    </row>
    <row r="265" spans="1:9" x14ac:dyDescent="0.35">
      <c r="A265" s="1"/>
      <c r="B265" s="1"/>
      <c r="C265" s="1"/>
      <c r="D265" s="1"/>
      <c r="G265" s="1"/>
      <c r="H265" s="1"/>
      <c r="I265" s="2"/>
    </row>
    <row r="266" spans="1:9" x14ac:dyDescent="0.35">
      <c r="A266" s="1"/>
      <c r="B266" s="1"/>
      <c r="C266" s="1"/>
      <c r="D266" s="1"/>
      <c r="G266" s="1"/>
      <c r="H266" s="1"/>
      <c r="I266" s="2"/>
    </row>
    <row r="267" spans="1:9" x14ac:dyDescent="0.35">
      <c r="A267" s="1"/>
      <c r="B267" s="1"/>
      <c r="C267" s="1"/>
      <c r="D267" s="1"/>
      <c r="G267" s="1"/>
      <c r="H267" s="1"/>
      <c r="I267" s="2"/>
    </row>
    <row r="268" spans="1:9" x14ac:dyDescent="0.35">
      <c r="A268" s="1"/>
      <c r="B268" s="1"/>
      <c r="C268" s="1"/>
      <c r="D268" s="1"/>
      <c r="G268" s="1"/>
      <c r="H268" s="1"/>
      <c r="I268" s="2"/>
    </row>
    <row r="269" spans="1:9" x14ac:dyDescent="0.35">
      <c r="A269" s="1"/>
      <c r="B269" s="1"/>
      <c r="C269" s="1"/>
      <c r="D269" s="1"/>
      <c r="G269" s="1"/>
      <c r="H269" s="1"/>
      <c r="I269" s="2"/>
    </row>
    <row r="270" spans="1:9" x14ac:dyDescent="0.35">
      <c r="A270" s="1"/>
      <c r="B270" s="1"/>
      <c r="C270" s="1"/>
      <c r="D270" s="1"/>
      <c r="G270" s="1"/>
      <c r="H270" s="1"/>
      <c r="I270" s="2"/>
    </row>
    <row r="271" spans="1:9" x14ac:dyDescent="0.35">
      <c r="A271" s="1"/>
      <c r="B271" s="1"/>
      <c r="C271" s="1"/>
      <c r="D271" s="1"/>
      <c r="G271" s="1"/>
      <c r="H271" s="1"/>
      <c r="I271" s="2"/>
    </row>
    <row r="272" spans="1:9" x14ac:dyDescent="0.35">
      <c r="A272" s="1"/>
      <c r="B272" s="1"/>
      <c r="C272" s="1"/>
      <c r="D272" s="1"/>
      <c r="G272" s="1"/>
      <c r="H272" s="1"/>
      <c r="I272" s="2"/>
    </row>
    <row r="273" spans="1:9" x14ac:dyDescent="0.35">
      <c r="A273" s="1"/>
      <c r="B273" s="1"/>
      <c r="C273" s="1"/>
      <c r="D273" s="1"/>
      <c r="G273" s="1"/>
      <c r="H273" s="1"/>
      <c r="I273" s="2"/>
    </row>
    <row r="274" spans="1:9" x14ac:dyDescent="0.35">
      <c r="A274" s="1"/>
      <c r="B274" s="1"/>
      <c r="C274" s="1"/>
      <c r="D274" s="1"/>
      <c r="G274" s="1"/>
      <c r="H274" s="1"/>
      <c r="I274" s="2"/>
    </row>
    <row r="275" spans="1:9" x14ac:dyDescent="0.35">
      <c r="A275" s="1"/>
      <c r="B275" s="1"/>
      <c r="C275" s="1"/>
      <c r="D275" s="1"/>
      <c r="G275" s="1"/>
      <c r="H275" s="1"/>
      <c r="I275" s="2"/>
    </row>
    <row r="276" spans="1:9" x14ac:dyDescent="0.35">
      <c r="A276" s="1"/>
      <c r="B276" s="1"/>
      <c r="C276" s="1"/>
      <c r="D276" s="1"/>
      <c r="G276" s="1"/>
      <c r="H276" s="1"/>
      <c r="I276" s="2"/>
    </row>
    <row r="277" spans="1:9" x14ac:dyDescent="0.35">
      <c r="A277" s="1"/>
      <c r="B277" s="1"/>
      <c r="C277" s="1"/>
      <c r="D277" s="1"/>
      <c r="G277" s="1"/>
      <c r="H277" s="1"/>
      <c r="I277" s="2"/>
    </row>
    <row r="278" spans="1:9" x14ac:dyDescent="0.35">
      <c r="A278" s="1"/>
      <c r="B278" s="1"/>
      <c r="C278" s="1"/>
      <c r="D278" s="1"/>
      <c r="G278" s="1"/>
      <c r="H278" s="1"/>
      <c r="I278" s="2"/>
    </row>
    <row r="279" spans="1:9" x14ac:dyDescent="0.35">
      <c r="A279" s="1"/>
      <c r="B279" s="1"/>
      <c r="C279" s="1"/>
      <c r="D279" s="1"/>
      <c r="G279" s="1"/>
      <c r="H279" s="1"/>
      <c r="I279" s="2"/>
    </row>
    <row r="280" spans="1:9" x14ac:dyDescent="0.35">
      <c r="A280" s="1"/>
      <c r="B280" s="1"/>
      <c r="C280" s="1"/>
      <c r="D280" s="1"/>
      <c r="G280" s="1"/>
      <c r="H280" s="1"/>
      <c r="I280" s="2"/>
    </row>
    <row r="281" spans="1:9" x14ac:dyDescent="0.35">
      <c r="A281" s="1"/>
      <c r="B281" s="1"/>
      <c r="C281" s="1"/>
      <c r="D281" s="1"/>
      <c r="G281" s="1"/>
      <c r="H281" s="1"/>
      <c r="I281" s="2"/>
    </row>
    <row r="282" spans="1:9" x14ac:dyDescent="0.35">
      <c r="A282" s="1"/>
      <c r="B282" s="1"/>
      <c r="C282" s="1"/>
      <c r="D282" s="1"/>
      <c r="G282" s="1"/>
      <c r="H282" s="1"/>
      <c r="I282" s="2"/>
    </row>
    <row r="283" spans="1:9" x14ac:dyDescent="0.35">
      <c r="A283" s="1"/>
      <c r="B283" s="1"/>
      <c r="C283" s="1"/>
      <c r="D283" s="1"/>
      <c r="G283" s="1"/>
      <c r="H283" s="1"/>
      <c r="I283" s="2"/>
    </row>
    <row r="284" spans="1:9" x14ac:dyDescent="0.35">
      <c r="A284" s="1"/>
      <c r="B284" s="1"/>
      <c r="C284" s="1"/>
      <c r="D284" s="1"/>
      <c r="G284" s="1"/>
      <c r="H284" s="1"/>
      <c r="I284" s="2"/>
    </row>
    <row r="285" spans="1:9" x14ac:dyDescent="0.35">
      <c r="A285" s="1"/>
      <c r="B285" s="1"/>
      <c r="C285" s="1"/>
      <c r="D285" s="1"/>
      <c r="G285" s="1"/>
      <c r="H285" s="1"/>
      <c r="I285" s="2"/>
    </row>
    <row r="286" spans="1:9" x14ac:dyDescent="0.35">
      <c r="A286" s="1"/>
      <c r="B286" s="1"/>
      <c r="C286" s="1"/>
      <c r="D286" s="1"/>
      <c r="G286" s="1"/>
      <c r="H286" s="1"/>
      <c r="I286" s="2"/>
    </row>
    <row r="287" spans="1:9" x14ac:dyDescent="0.35">
      <c r="A287" s="1"/>
      <c r="B287" s="1"/>
      <c r="C287" s="1"/>
      <c r="D287" s="1"/>
      <c r="G287" s="1"/>
      <c r="H287" s="1"/>
      <c r="I287" s="2"/>
    </row>
    <row r="288" spans="1:9" x14ac:dyDescent="0.35">
      <c r="A288" s="1"/>
      <c r="B288" s="1"/>
      <c r="C288" s="1"/>
      <c r="D288" s="1"/>
      <c r="G288" s="1"/>
      <c r="H288" s="1"/>
      <c r="I288" s="2"/>
    </row>
    <row r="289" spans="1:9" x14ac:dyDescent="0.35">
      <c r="A289" s="1"/>
      <c r="B289" s="1"/>
      <c r="C289" s="1"/>
      <c r="D289" s="1"/>
      <c r="G289" s="1"/>
      <c r="H289" s="1"/>
      <c r="I289" s="2"/>
    </row>
    <row r="290" spans="1:9" x14ac:dyDescent="0.35">
      <c r="A290" s="1"/>
      <c r="B290" s="1"/>
      <c r="C290" s="1"/>
      <c r="D290" s="1"/>
      <c r="G290" s="1"/>
      <c r="H290" s="1"/>
      <c r="I290" s="2"/>
    </row>
    <row r="291" spans="1:9" x14ac:dyDescent="0.35">
      <c r="A291" s="1"/>
      <c r="B291" s="1"/>
      <c r="C291" s="1"/>
      <c r="D291" s="1"/>
      <c r="G291" s="1"/>
      <c r="H291" s="1"/>
      <c r="I291" s="2"/>
    </row>
    <row r="292" spans="1:9" x14ac:dyDescent="0.35">
      <c r="A292" s="1"/>
      <c r="B292" s="1"/>
      <c r="C292" s="1"/>
      <c r="D292" s="1"/>
      <c r="G292" s="1"/>
      <c r="H292" s="1"/>
      <c r="I292" s="2"/>
    </row>
    <row r="293" spans="1:9" x14ac:dyDescent="0.35">
      <c r="A293" s="1"/>
      <c r="B293" s="1"/>
      <c r="C293" s="1"/>
      <c r="D293" s="1"/>
      <c r="G293" s="1"/>
      <c r="H293" s="1"/>
      <c r="I293" s="2"/>
    </row>
    <row r="294" spans="1:9" x14ac:dyDescent="0.35">
      <c r="A294" s="1"/>
      <c r="B294" s="1"/>
      <c r="C294" s="1"/>
      <c r="D294" s="1"/>
      <c r="G294" s="1"/>
      <c r="H294" s="1"/>
      <c r="I294" s="2"/>
    </row>
    <row r="295" spans="1:9" x14ac:dyDescent="0.35">
      <c r="A295" s="1"/>
      <c r="B295" s="1"/>
      <c r="C295" s="1"/>
      <c r="D295" s="1"/>
      <c r="G295" s="1"/>
      <c r="H295" s="1"/>
      <c r="I295" s="2"/>
    </row>
    <row r="296" spans="1:9" x14ac:dyDescent="0.35">
      <c r="A296" s="1"/>
      <c r="B296" s="1"/>
      <c r="C296" s="1"/>
      <c r="D296" s="1"/>
      <c r="G296" s="1"/>
      <c r="H296" s="1"/>
      <c r="I296" s="2"/>
    </row>
    <row r="297" spans="1:9" x14ac:dyDescent="0.35">
      <c r="A297" s="1"/>
      <c r="B297" s="1"/>
      <c r="C297" s="1"/>
      <c r="D297" s="1"/>
      <c r="G297" s="1"/>
      <c r="H297" s="1"/>
      <c r="I297" s="2"/>
    </row>
    <row r="298" spans="1:9" x14ac:dyDescent="0.35">
      <c r="A298" s="1"/>
      <c r="B298" s="1"/>
      <c r="C298" s="1"/>
      <c r="D298" s="1"/>
      <c r="G298" s="1"/>
      <c r="H298" s="1"/>
      <c r="I298" s="2"/>
    </row>
    <row r="299" spans="1:9" x14ac:dyDescent="0.35">
      <c r="A299" s="1"/>
      <c r="B299" s="1"/>
      <c r="C299" s="1"/>
      <c r="D299" s="1"/>
      <c r="G299" s="1"/>
      <c r="H299" s="1"/>
      <c r="I299" s="2"/>
    </row>
    <row r="300" spans="1:9" x14ac:dyDescent="0.35">
      <c r="A300" s="1"/>
      <c r="B300" s="1"/>
      <c r="C300" s="1"/>
      <c r="D300" s="1"/>
      <c r="G300" s="1"/>
      <c r="H300" s="1"/>
      <c r="I300" s="2"/>
    </row>
    <row r="301" spans="1:9" x14ac:dyDescent="0.35">
      <c r="A301" s="1"/>
      <c r="B301" s="1"/>
      <c r="C301" s="1"/>
      <c r="D301" s="1"/>
      <c r="G301" s="1"/>
      <c r="H301" s="1"/>
      <c r="I301" s="2"/>
    </row>
    <row r="302" spans="1:9" x14ac:dyDescent="0.35">
      <c r="A302" s="1"/>
      <c r="B302" s="1"/>
      <c r="C302" s="1"/>
      <c r="D302" s="1"/>
      <c r="G302" s="1"/>
      <c r="H302" s="1"/>
      <c r="I302" s="2"/>
    </row>
    <row r="303" spans="1:9" x14ac:dyDescent="0.35">
      <c r="A303" s="1"/>
      <c r="B303" s="1"/>
      <c r="C303" s="1"/>
      <c r="D303" s="1"/>
      <c r="G303" s="1"/>
      <c r="H303" s="1"/>
      <c r="I303" s="2"/>
    </row>
    <row r="304" spans="1:9" x14ac:dyDescent="0.35">
      <c r="A304" s="1"/>
      <c r="B304" s="1"/>
      <c r="C304" s="1"/>
      <c r="D304" s="1"/>
      <c r="G304" s="1"/>
      <c r="H304" s="1"/>
      <c r="I304" s="2"/>
    </row>
    <row r="305" spans="1:9" x14ac:dyDescent="0.35">
      <c r="A305" s="1"/>
      <c r="B305" s="1"/>
      <c r="C305" s="1"/>
      <c r="D305" s="1"/>
      <c r="G305" s="1"/>
      <c r="H305" s="1"/>
      <c r="I305" s="2"/>
    </row>
    <row r="306" spans="1:9" x14ac:dyDescent="0.35">
      <c r="A306" s="1"/>
      <c r="B306" s="1"/>
      <c r="C306" s="1"/>
      <c r="D306" s="1"/>
      <c r="G306" s="1"/>
      <c r="H306" s="1"/>
      <c r="I306" s="2"/>
    </row>
    <row r="307" spans="1:9" x14ac:dyDescent="0.35">
      <c r="A307" s="1"/>
      <c r="B307" s="1"/>
      <c r="C307" s="1"/>
      <c r="D307" s="1"/>
      <c r="G307" s="1"/>
      <c r="H307" s="1"/>
      <c r="I307" s="2"/>
    </row>
    <row r="308" spans="1:9" x14ac:dyDescent="0.35">
      <c r="A308" s="1"/>
      <c r="B308" s="1"/>
      <c r="C308" s="1"/>
      <c r="D308" s="1"/>
      <c r="G308" s="1"/>
      <c r="H308" s="1"/>
      <c r="I308" s="2"/>
    </row>
    <row r="309" spans="1:9" x14ac:dyDescent="0.35">
      <c r="A309" s="1"/>
      <c r="B309" s="1"/>
      <c r="C309" s="1"/>
      <c r="D309" s="1"/>
      <c r="G309" s="1"/>
      <c r="H309" s="1"/>
      <c r="I309" s="2"/>
    </row>
    <row r="310" spans="1:9" x14ac:dyDescent="0.35">
      <c r="A310" s="1"/>
      <c r="B310" s="1"/>
      <c r="C310" s="1"/>
      <c r="D310" s="1"/>
      <c r="G310" s="1"/>
      <c r="H310" s="1"/>
      <c r="I310" s="2"/>
    </row>
    <row r="311" spans="1:9" x14ac:dyDescent="0.35">
      <c r="A311" s="1"/>
      <c r="B311" s="1"/>
      <c r="C311" s="1"/>
      <c r="D311" s="1"/>
      <c r="G311" s="1"/>
      <c r="H311" s="1"/>
      <c r="I311" s="2"/>
    </row>
    <row r="312" spans="1:9" x14ac:dyDescent="0.35">
      <c r="A312" s="1"/>
      <c r="B312" s="1"/>
      <c r="C312" s="1"/>
      <c r="D312" s="1"/>
      <c r="G312" s="1"/>
      <c r="H312" s="1"/>
      <c r="I312" s="2"/>
    </row>
    <row r="313" spans="1:9" x14ac:dyDescent="0.35">
      <c r="A313" s="1"/>
      <c r="B313" s="1"/>
      <c r="C313" s="1"/>
      <c r="D313" s="1"/>
      <c r="G313" s="1"/>
      <c r="H313" s="1"/>
      <c r="I313" s="2"/>
    </row>
    <row r="314" spans="1:9" x14ac:dyDescent="0.35">
      <c r="A314" s="1"/>
      <c r="B314" s="1"/>
      <c r="C314" s="1"/>
      <c r="D314" s="1"/>
      <c r="G314" s="1"/>
      <c r="H314" s="1"/>
      <c r="I314" s="2"/>
    </row>
    <row r="315" spans="1:9" x14ac:dyDescent="0.35">
      <c r="A315" s="1"/>
      <c r="B315" s="1"/>
      <c r="C315" s="1"/>
      <c r="D315" s="1"/>
      <c r="G315" s="1"/>
      <c r="H315" s="1"/>
      <c r="I315" s="2"/>
    </row>
    <row r="316" spans="1:9" x14ac:dyDescent="0.35">
      <c r="A316" s="1"/>
      <c r="B316" s="1"/>
      <c r="C316" s="1"/>
      <c r="D316" s="1"/>
      <c r="G316" s="1"/>
      <c r="H316" s="1"/>
      <c r="I316" s="2"/>
    </row>
    <row r="317" spans="1:9" x14ac:dyDescent="0.35">
      <c r="A317" s="1"/>
      <c r="B317" s="1"/>
      <c r="C317" s="1"/>
      <c r="D317" s="1"/>
      <c r="G317" s="1"/>
      <c r="H317" s="1"/>
      <c r="I317" s="2"/>
    </row>
    <row r="318" spans="1:9" x14ac:dyDescent="0.35">
      <c r="A318" s="1"/>
      <c r="B318" s="1"/>
      <c r="C318" s="1"/>
      <c r="D318" s="1"/>
      <c r="G318" s="1"/>
      <c r="H318" s="1"/>
      <c r="I318" s="2"/>
    </row>
    <row r="319" spans="1:9" x14ac:dyDescent="0.35">
      <c r="A319" s="1"/>
      <c r="B319" s="1"/>
      <c r="C319" s="1"/>
      <c r="D319" s="1"/>
      <c r="G319" s="1"/>
      <c r="H319" s="1"/>
      <c r="I319" s="2"/>
    </row>
    <row r="320" spans="1:9" x14ac:dyDescent="0.35">
      <c r="A320" s="1"/>
      <c r="B320" s="1"/>
      <c r="C320" s="1"/>
      <c r="D320" s="1"/>
      <c r="G320" s="1"/>
      <c r="H320" s="1"/>
      <c r="I320" s="2"/>
    </row>
    <row r="321" spans="1:9" x14ac:dyDescent="0.35">
      <c r="A321" s="1"/>
      <c r="B321" s="1"/>
      <c r="C321" s="1"/>
      <c r="D321" s="1"/>
      <c r="G321" s="1"/>
      <c r="H321" s="1"/>
      <c r="I321" s="2"/>
    </row>
    <row r="322" spans="1:9" x14ac:dyDescent="0.35">
      <c r="A322" s="1"/>
      <c r="B322" s="1"/>
      <c r="C322" s="1"/>
      <c r="D322" s="1"/>
      <c r="G322" s="1"/>
      <c r="H322" s="1"/>
      <c r="I322" s="2"/>
    </row>
    <row r="323" spans="1:9" x14ac:dyDescent="0.35">
      <c r="A323" s="1"/>
      <c r="B323" s="1"/>
      <c r="C323" s="1"/>
      <c r="D323" s="1"/>
      <c r="G323" s="1"/>
      <c r="H323" s="1"/>
      <c r="I323" s="2"/>
    </row>
    <row r="324" spans="1:9" x14ac:dyDescent="0.35">
      <c r="A324" s="1"/>
      <c r="B324" s="1"/>
      <c r="C324" s="1"/>
      <c r="D324" s="1"/>
      <c r="G324" s="1"/>
      <c r="H324" s="1"/>
      <c r="I324" s="2"/>
    </row>
    <row r="325" spans="1:9" x14ac:dyDescent="0.35">
      <c r="A325" s="1"/>
      <c r="B325" s="1"/>
      <c r="C325" s="1"/>
      <c r="D325" s="1"/>
      <c r="G325" s="1"/>
      <c r="H325" s="1"/>
      <c r="I325" s="2"/>
    </row>
    <row r="326" spans="1:9" x14ac:dyDescent="0.35">
      <c r="A326" s="1"/>
      <c r="B326" s="1"/>
      <c r="C326" s="1"/>
      <c r="D326" s="1"/>
      <c r="G326" s="1"/>
      <c r="H326" s="1"/>
      <c r="I326" s="2"/>
    </row>
    <row r="327" spans="1:9" x14ac:dyDescent="0.35">
      <c r="A327" s="1"/>
      <c r="B327" s="1"/>
      <c r="C327" s="1"/>
      <c r="D327" s="1"/>
      <c r="G327" s="1"/>
      <c r="H327" s="1"/>
      <c r="I327" s="2"/>
    </row>
    <row r="328" spans="1:9" x14ac:dyDescent="0.35">
      <c r="A328" s="1"/>
      <c r="B328" s="1"/>
      <c r="C328" s="1"/>
      <c r="D328" s="1"/>
      <c r="G328" s="1"/>
      <c r="H328" s="1"/>
      <c r="I328" s="2"/>
    </row>
    <row r="329" spans="1:9" x14ac:dyDescent="0.35">
      <c r="A329" s="1"/>
      <c r="B329" s="1"/>
      <c r="C329" s="1"/>
      <c r="D329" s="1"/>
      <c r="G329" s="1"/>
      <c r="H329" s="1"/>
      <c r="I329" s="2"/>
    </row>
    <row r="330" spans="1:9" x14ac:dyDescent="0.35">
      <c r="A330" s="1"/>
      <c r="B330" s="1"/>
      <c r="C330" s="1"/>
      <c r="D330" s="1"/>
      <c r="G330" s="1"/>
      <c r="H330" s="1"/>
      <c r="I330" s="2"/>
    </row>
    <row r="331" spans="1:9" x14ac:dyDescent="0.35">
      <c r="A331" s="1"/>
      <c r="B331" s="1"/>
      <c r="C331" s="1"/>
      <c r="D331" s="1"/>
      <c r="G331" s="1"/>
      <c r="H331" s="1"/>
      <c r="I331" s="2"/>
    </row>
    <row r="332" spans="1:9" x14ac:dyDescent="0.35">
      <c r="A332" s="1"/>
      <c r="B332" s="1"/>
      <c r="C332" s="1"/>
      <c r="D332" s="1"/>
      <c r="G332" s="1"/>
      <c r="H332" s="1"/>
      <c r="I332" s="2"/>
    </row>
    <row r="333" spans="1:9" x14ac:dyDescent="0.35">
      <c r="A333" s="1"/>
      <c r="B333" s="1"/>
      <c r="C333" s="1"/>
      <c r="D333" s="1"/>
      <c r="G333" s="1"/>
      <c r="H333" s="1"/>
      <c r="I333" s="2"/>
    </row>
    <row r="334" spans="1:9" x14ac:dyDescent="0.35">
      <c r="A334" s="1"/>
      <c r="B334" s="1"/>
      <c r="C334" s="1"/>
      <c r="D334" s="1"/>
      <c r="G334" s="1"/>
      <c r="H334" s="1"/>
      <c r="I334" s="2"/>
    </row>
    <row r="335" spans="1:9" x14ac:dyDescent="0.35">
      <c r="A335" s="1"/>
      <c r="B335" s="1"/>
      <c r="C335" s="1"/>
      <c r="D335" s="1"/>
      <c r="G335" s="1"/>
      <c r="H335" s="1"/>
      <c r="I335" s="2"/>
    </row>
    <row r="336" spans="1:9" x14ac:dyDescent="0.35">
      <c r="A336" s="1"/>
      <c r="B336" s="1"/>
      <c r="C336" s="1"/>
      <c r="D336" s="1"/>
      <c r="G336" s="1"/>
      <c r="H336" s="1"/>
      <c r="I336" s="2"/>
    </row>
    <row r="337" spans="1:9" x14ac:dyDescent="0.35">
      <c r="A337" s="1"/>
      <c r="B337" s="1"/>
      <c r="C337" s="1"/>
      <c r="D337" s="1"/>
      <c r="G337" s="1"/>
      <c r="H337" s="1"/>
      <c r="I337" s="2"/>
    </row>
    <row r="338" spans="1:9" x14ac:dyDescent="0.35">
      <c r="A338" s="1"/>
      <c r="B338" s="1"/>
      <c r="C338" s="1"/>
      <c r="D338" s="1"/>
      <c r="G338" s="1"/>
      <c r="H338" s="1"/>
      <c r="I338" s="2"/>
    </row>
    <row r="339" spans="1:9" x14ac:dyDescent="0.35">
      <c r="A339" s="1"/>
      <c r="B339" s="1"/>
      <c r="C339" s="1"/>
      <c r="D339" s="1"/>
      <c r="G339" s="1"/>
      <c r="H339" s="1"/>
      <c r="I339" s="2"/>
    </row>
    <row r="340" spans="1:9" x14ac:dyDescent="0.35">
      <c r="A340" s="1"/>
      <c r="B340" s="1"/>
      <c r="C340" s="1"/>
      <c r="D340" s="1"/>
      <c r="G340" s="1"/>
      <c r="H340" s="1"/>
      <c r="I340" s="2"/>
    </row>
    <row r="341" spans="1:9" x14ac:dyDescent="0.35">
      <c r="A341" s="1"/>
      <c r="B341" s="1"/>
      <c r="C341" s="1"/>
      <c r="D341" s="1"/>
      <c r="G341" s="1"/>
      <c r="H341" s="1"/>
      <c r="I341" s="2"/>
    </row>
    <row r="342" spans="1:9" x14ac:dyDescent="0.35">
      <c r="A342" s="1"/>
      <c r="B342" s="1"/>
      <c r="C342" s="1"/>
      <c r="D342" s="1"/>
      <c r="G342" s="1"/>
      <c r="H342" s="1"/>
      <c r="I342" s="2"/>
    </row>
    <row r="343" spans="1:9" x14ac:dyDescent="0.35">
      <c r="A343" s="1"/>
      <c r="B343" s="1"/>
      <c r="C343" s="1"/>
      <c r="D343" s="1"/>
      <c r="G343" s="1"/>
      <c r="H343" s="1"/>
      <c r="I343" s="2"/>
    </row>
    <row r="344" spans="1:9" x14ac:dyDescent="0.35">
      <c r="A344" s="1"/>
      <c r="B344" s="1"/>
      <c r="C344" s="1"/>
      <c r="D344" s="1"/>
      <c r="G344" s="1"/>
      <c r="H344" s="1"/>
      <c r="I344" s="2"/>
    </row>
    <row r="345" spans="1:9" x14ac:dyDescent="0.35">
      <c r="A345" s="1"/>
      <c r="B345" s="1"/>
      <c r="C345" s="1"/>
      <c r="D345" s="1"/>
      <c r="G345" s="1"/>
      <c r="H345" s="1"/>
      <c r="I345" s="2"/>
    </row>
    <row r="346" spans="1:9" x14ac:dyDescent="0.35">
      <c r="A346" s="1"/>
      <c r="B346" s="1"/>
      <c r="C346" s="1"/>
      <c r="D346" s="1"/>
      <c r="G346" s="1"/>
      <c r="H346" s="1"/>
      <c r="I346" s="2"/>
    </row>
    <row r="347" spans="1:9" x14ac:dyDescent="0.35">
      <c r="A347" s="1"/>
      <c r="B347" s="1"/>
      <c r="C347" s="1"/>
      <c r="D347" s="1"/>
      <c r="G347" s="1"/>
      <c r="H347" s="1"/>
      <c r="I347" s="2"/>
    </row>
    <row r="348" spans="1:9" x14ac:dyDescent="0.35">
      <c r="A348" s="1"/>
      <c r="B348" s="1"/>
      <c r="C348" s="1"/>
      <c r="D348" s="1"/>
      <c r="G348" s="1"/>
      <c r="H348" s="1"/>
      <c r="I348" s="2"/>
    </row>
    <row r="349" spans="1:9" x14ac:dyDescent="0.35">
      <c r="A349" s="1"/>
      <c r="B349" s="1"/>
      <c r="C349" s="1"/>
      <c r="D349" s="1"/>
      <c r="G349" s="1"/>
      <c r="H349" s="1"/>
      <c r="I349" s="2"/>
    </row>
    <row r="350" spans="1:9" x14ac:dyDescent="0.35">
      <c r="A350" s="1"/>
      <c r="B350" s="1"/>
      <c r="C350" s="1"/>
      <c r="D350" s="1"/>
      <c r="G350" s="1"/>
      <c r="H350" s="1"/>
      <c r="I350" s="2"/>
    </row>
    <row r="351" spans="1:9" x14ac:dyDescent="0.35">
      <c r="A351" s="1"/>
      <c r="B351" s="1"/>
      <c r="C351" s="1"/>
      <c r="D351" s="1"/>
      <c r="G351" s="1"/>
      <c r="H351" s="1"/>
      <c r="I351" s="2"/>
    </row>
    <row r="352" spans="1:9" x14ac:dyDescent="0.35">
      <c r="A352" s="1"/>
      <c r="B352" s="1"/>
      <c r="C352" s="1"/>
      <c r="D352" s="1"/>
      <c r="G352" s="1"/>
      <c r="H352" s="1"/>
      <c r="I352" s="2"/>
    </row>
    <row r="353" spans="1:9" x14ac:dyDescent="0.35">
      <c r="A353" s="1"/>
      <c r="B353" s="1"/>
      <c r="C353" s="1"/>
      <c r="D353" s="1"/>
      <c r="G353" s="1"/>
      <c r="H353" s="1"/>
      <c r="I353" s="2"/>
    </row>
    <row r="354" spans="1:9" x14ac:dyDescent="0.35">
      <c r="A354" s="1"/>
      <c r="B354" s="1"/>
      <c r="C354" s="1"/>
      <c r="D354" s="1"/>
      <c r="G354" s="1"/>
      <c r="H354" s="1"/>
      <c r="I354" s="2"/>
    </row>
    <row r="355" spans="1:9" x14ac:dyDescent="0.35">
      <c r="A355" s="1"/>
      <c r="B355" s="1"/>
      <c r="C355" s="1"/>
      <c r="D355" s="1"/>
      <c r="G355" s="1"/>
      <c r="H355" s="1"/>
      <c r="I355" s="2"/>
    </row>
    <row r="356" spans="1:9" x14ac:dyDescent="0.35">
      <c r="A356" s="1"/>
      <c r="B356" s="1"/>
      <c r="C356" s="1"/>
      <c r="D356" s="1"/>
      <c r="G356" s="1"/>
      <c r="H356" s="1"/>
      <c r="I356" s="2"/>
    </row>
    <row r="357" spans="1:9" x14ac:dyDescent="0.35">
      <c r="A357" s="1"/>
      <c r="B357" s="1"/>
      <c r="C357" s="1"/>
      <c r="D357" s="1"/>
      <c r="G357" s="1"/>
      <c r="H357" s="1"/>
      <c r="I357" s="2"/>
    </row>
    <row r="358" spans="1:9" x14ac:dyDescent="0.35">
      <c r="A358" s="1"/>
      <c r="B358" s="1"/>
      <c r="C358" s="1"/>
      <c r="D358" s="1"/>
      <c r="G358" s="1"/>
      <c r="H358" s="1"/>
      <c r="I358" s="2"/>
    </row>
    <row r="359" spans="1:9" x14ac:dyDescent="0.35">
      <c r="A359" s="1"/>
      <c r="B359" s="1"/>
      <c r="C359" s="1"/>
      <c r="D359" s="1"/>
      <c r="G359" s="1"/>
      <c r="H359" s="1"/>
      <c r="I359" s="2"/>
    </row>
    <row r="360" spans="1:9" x14ac:dyDescent="0.35">
      <c r="A360" s="1"/>
      <c r="B360" s="1"/>
      <c r="C360" s="1"/>
      <c r="D360" s="1"/>
      <c r="G360" s="1"/>
      <c r="H360" s="1"/>
      <c r="I360" s="2"/>
    </row>
    <row r="361" spans="1:9" x14ac:dyDescent="0.35">
      <c r="A361" s="1"/>
      <c r="B361" s="1"/>
      <c r="C361" s="1"/>
      <c r="D361" s="1"/>
      <c r="G361" s="1"/>
      <c r="H361" s="1"/>
      <c r="I361" s="2"/>
    </row>
    <row r="362" spans="1:9" x14ac:dyDescent="0.35">
      <c r="A362" s="1"/>
      <c r="B362" s="1"/>
      <c r="C362" s="1"/>
      <c r="D362" s="1"/>
      <c r="G362" s="1"/>
      <c r="H362" s="1"/>
      <c r="I362" s="2"/>
    </row>
    <row r="363" spans="1:9" x14ac:dyDescent="0.35">
      <c r="A363" s="1"/>
      <c r="B363" s="1"/>
      <c r="C363" s="1"/>
      <c r="D363" s="1"/>
      <c r="G363" s="1"/>
      <c r="H363" s="1"/>
      <c r="I363" s="2"/>
    </row>
    <row r="364" spans="1:9" x14ac:dyDescent="0.35">
      <c r="A364" s="1"/>
      <c r="B364" s="1"/>
      <c r="C364" s="1"/>
      <c r="D364" s="1"/>
      <c r="G364" s="1"/>
      <c r="H364" s="1"/>
      <c r="I364" s="2"/>
    </row>
    <row r="365" spans="1:9" x14ac:dyDescent="0.35">
      <c r="A365" s="1"/>
      <c r="B365" s="1"/>
      <c r="C365" s="1"/>
      <c r="D365" s="1"/>
      <c r="G365" s="1"/>
      <c r="H365" s="1"/>
      <c r="I365" s="2"/>
    </row>
    <row r="366" spans="1:9" x14ac:dyDescent="0.35">
      <c r="A366" s="1"/>
      <c r="B366" s="1"/>
      <c r="C366" s="1"/>
      <c r="D366" s="1"/>
      <c r="G366" s="1"/>
      <c r="H366" s="1"/>
      <c r="I366" s="2"/>
    </row>
    <row r="367" spans="1:9" x14ac:dyDescent="0.35">
      <c r="A367" s="1"/>
      <c r="B367" s="1"/>
      <c r="C367" s="1"/>
      <c r="D367" s="1"/>
      <c r="G367" s="1"/>
      <c r="H367" s="1"/>
      <c r="I367" s="2"/>
    </row>
    <row r="368" spans="1:9" x14ac:dyDescent="0.35">
      <c r="A368" s="1"/>
      <c r="B368" s="1"/>
      <c r="C368" s="1"/>
      <c r="D368" s="1"/>
      <c r="G368" s="1"/>
      <c r="H368" s="1"/>
      <c r="I368" s="2"/>
    </row>
    <row r="369" spans="1:9" x14ac:dyDescent="0.35">
      <c r="A369" s="1"/>
      <c r="B369" s="1"/>
      <c r="C369" s="1"/>
      <c r="D369" s="1"/>
      <c r="G369" s="1"/>
      <c r="H369" s="1"/>
      <c r="I369" s="2"/>
    </row>
    <row r="370" spans="1:9" x14ac:dyDescent="0.35">
      <c r="A370" s="1"/>
      <c r="B370" s="1"/>
      <c r="C370" s="1"/>
      <c r="D370" s="1"/>
      <c r="G370" s="1"/>
      <c r="H370" s="1"/>
      <c r="I370" s="2"/>
    </row>
    <row r="371" spans="1:9" x14ac:dyDescent="0.35">
      <c r="A371" s="1"/>
      <c r="B371" s="1"/>
      <c r="C371" s="1"/>
      <c r="D371" s="1"/>
      <c r="G371" s="1"/>
      <c r="H371" s="1"/>
      <c r="I371" s="2"/>
    </row>
    <row r="372" spans="1:9" x14ac:dyDescent="0.35">
      <c r="A372" s="1"/>
      <c r="B372" s="1"/>
      <c r="C372" s="1"/>
      <c r="D372" s="1"/>
      <c r="G372" s="1"/>
      <c r="H372" s="1"/>
      <c r="I372" s="2"/>
    </row>
    <row r="373" spans="1:9" x14ac:dyDescent="0.35">
      <c r="A373" s="1"/>
      <c r="B373" s="1"/>
      <c r="C373" s="1"/>
      <c r="D373" s="1"/>
      <c r="G373" s="1"/>
      <c r="H373" s="1"/>
      <c r="I373" s="2"/>
    </row>
    <row r="374" spans="1:9" x14ac:dyDescent="0.35">
      <c r="A374" s="1"/>
      <c r="B374" s="1"/>
      <c r="C374" s="1"/>
      <c r="D374" s="1"/>
      <c r="G374" s="1"/>
      <c r="H374" s="1"/>
      <c r="I374" s="2"/>
    </row>
    <row r="375" spans="1:9" x14ac:dyDescent="0.35">
      <c r="A375" s="1"/>
      <c r="B375" s="1"/>
      <c r="C375" s="1"/>
      <c r="D375" s="1"/>
      <c r="G375" s="1"/>
      <c r="H375" s="1"/>
      <c r="I375" s="2"/>
    </row>
    <row r="376" spans="1:9" x14ac:dyDescent="0.35">
      <c r="A376" s="1"/>
      <c r="B376" s="1"/>
      <c r="C376" s="1"/>
      <c r="D376" s="1"/>
      <c r="G376" s="1"/>
      <c r="H376" s="1"/>
      <c r="I376" s="2"/>
    </row>
    <row r="377" spans="1:9" x14ac:dyDescent="0.35">
      <c r="A377" s="1"/>
      <c r="B377" s="1"/>
      <c r="C377" s="1"/>
      <c r="D377" s="1"/>
      <c r="G377" s="1"/>
      <c r="H377" s="1"/>
      <c r="I377" s="2"/>
    </row>
    <row r="378" spans="1:9" x14ac:dyDescent="0.35">
      <c r="A378" s="1"/>
      <c r="B378" s="1"/>
      <c r="C378" s="1"/>
      <c r="D378" s="1"/>
      <c r="G378" s="1"/>
      <c r="H378" s="1"/>
      <c r="I378" s="2"/>
    </row>
    <row r="379" spans="1:9" x14ac:dyDescent="0.35">
      <c r="A379" s="1"/>
      <c r="B379" s="1"/>
      <c r="C379" s="1"/>
      <c r="D379" s="1"/>
      <c r="G379" s="1"/>
      <c r="H379" s="1"/>
      <c r="I379" s="2"/>
    </row>
    <row r="380" spans="1:9" x14ac:dyDescent="0.35">
      <c r="A380" s="1"/>
      <c r="B380" s="1"/>
      <c r="C380" s="1"/>
      <c r="D380" s="1"/>
      <c r="G380" s="1"/>
      <c r="H380" s="1"/>
      <c r="I380" s="2"/>
    </row>
    <row r="381" spans="1:9" x14ac:dyDescent="0.35">
      <c r="A381" s="1"/>
      <c r="B381" s="1"/>
      <c r="C381" s="1"/>
      <c r="D381" s="1"/>
      <c r="G381" s="1"/>
      <c r="H381" s="1"/>
      <c r="I381" s="2"/>
    </row>
    <row r="382" spans="1:9" x14ac:dyDescent="0.35">
      <c r="A382" s="1"/>
      <c r="B382" s="1"/>
      <c r="C382" s="1"/>
      <c r="D382" s="1"/>
      <c r="G382" s="1"/>
      <c r="H382" s="1"/>
      <c r="I382" s="2"/>
    </row>
    <row r="383" spans="1:9" x14ac:dyDescent="0.35">
      <c r="A383" s="1"/>
      <c r="B383" s="1"/>
      <c r="C383" s="1"/>
      <c r="D383" s="1"/>
      <c r="G383" s="1"/>
      <c r="H383" s="1"/>
      <c r="I383" s="2"/>
    </row>
    <row r="384" spans="1:9" x14ac:dyDescent="0.35">
      <c r="A384" s="1"/>
      <c r="B384" s="1"/>
      <c r="C384" s="1"/>
      <c r="D384" s="1"/>
      <c r="G384" s="1"/>
      <c r="H384" s="1"/>
      <c r="I384" s="2"/>
    </row>
    <row r="385" spans="1:9" x14ac:dyDescent="0.35">
      <c r="A385" s="1"/>
      <c r="B385" s="1"/>
      <c r="C385" s="1"/>
      <c r="D385" s="1"/>
      <c r="G385" s="1"/>
      <c r="H385" s="1"/>
      <c r="I385" s="2"/>
    </row>
    <row r="386" spans="1:9" x14ac:dyDescent="0.35">
      <c r="A386" s="1"/>
      <c r="B386" s="1"/>
      <c r="C386" s="1"/>
      <c r="D386" s="1"/>
      <c r="G386" s="1"/>
      <c r="H386" s="1"/>
      <c r="I386" s="2"/>
    </row>
    <row r="387" spans="1:9" x14ac:dyDescent="0.35">
      <c r="A387" s="1"/>
      <c r="B387" s="1"/>
      <c r="C387" s="1"/>
      <c r="D387" s="1"/>
      <c r="G387" s="1"/>
      <c r="H387" s="1"/>
      <c r="I387" s="2"/>
    </row>
    <row r="388" spans="1:9" x14ac:dyDescent="0.35">
      <c r="A388" s="1"/>
      <c r="B388" s="1"/>
      <c r="C388" s="1"/>
      <c r="D388" s="1"/>
      <c r="G388" s="1"/>
      <c r="H388" s="1"/>
      <c r="I388" s="2"/>
    </row>
    <row r="389" spans="1:9" x14ac:dyDescent="0.35">
      <c r="A389" s="1"/>
      <c r="B389" s="1"/>
      <c r="C389" s="1"/>
      <c r="D389" s="1"/>
      <c r="G389" s="1"/>
      <c r="H389" s="1"/>
      <c r="I389" s="2"/>
    </row>
    <row r="390" spans="1:9" x14ac:dyDescent="0.35">
      <c r="A390" s="1"/>
      <c r="B390" s="1"/>
      <c r="C390" s="1"/>
      <c r="D390" s="1"/>
      <c r="G390" s="1"/>
      <c r="H390" s="1"/>
      <c r="I390" s="2"/>
    </row>
    <row r="391" spans="1:9" x14ac:dyDescent="0.35">
      <c r="A391" s="1"/>
      <c r="B391" s="1"/>
      <c r="C391" s="1"/>
      <c r="D391" s="1"/>
      <c r="G391" s="1"/>
      <c r="H391" s="1"/>
      <c r="I391" s="2"/>
    </row>
    <row r="392" spans="1:9" x14ac:dyDescent="0.35">
      <c r="A392" s="1"/>
      <c r="B392" s="1"/>
      <c r="C392" s="1"/>
      <c r="D392" s="1"/>
      <c r="G392" s="1"/>
      <c r="H392" s="1"/>
      <c r="I392" s="2"/>
    </row>
    <row r="393" spans="1:9" x14ac:dyDescent="0.35">
      <c r="A393" s="1"/>
      <c r="B393" s="1"/>
      <c r="C393" s="1"/>
      <c r="D393" s="1"/>
      <c r="G393" s="1"/>
      <c r="H393" s="1"/>
      <c r="I393" s="2"/>
    </row>
    <row r="394" spans="1:9" x14ac:dyDescent="0.35">
      <c r="A394" s="1"/>
      <c r="B394" s="1"/>
      <c r="C394" s="1"/>
      <c r="D394" s="1"/>
      <c r="G394" s="1"/>
      <c r="H394" s="1"/>
      <c r="I394" s="2"/>
    </row>
    <row r="395" spans="1:9" x14ac:dyDescent="0.35">
      <c r="A395" s="1"/>
      <c r="B395" s="1"/>
      <c r="C395" s="1"/>
      <c r="D395" s="1"/>
      <c r="G395" s="1"/>
      <c r="H395" s="1"/>
      <c r="I395" s="2"/>
    </row>
    <row r="396" spans="1:9" x14ac:dyDescent="0.35">
      <c r="A396" s="1"/>
      <c r="B396" s="1"/>
      <c r="C396" s="1"/>
      <c r="D396" s="1"/>
      <c r="G396" s="1"/>
      <c r="H396" s="1"/>
      <c r="I396" s="2"/>
    </row>
    <row r="397" spans="1:9" x14ac:dyDescent="0.35">
      <c r="A397" s="1"/>
      <c r="B397" s="1"/>
      <c r="C397" s="1"/>
      <c r="D397" s="1"/>
      <c r="G397" s="1"/>
      <c r="H397" s="1"/>
      <c r="I397" s="2"/>
    </row>
    <row r="398" spans="1:9" x14ac:dyDescent="0.35">
      <c r="A398" s="1"/>
      <c r="B398" s="1"/>
      <c r="C398" s="1"/>
      <c r="D398" s="1"/>
      <c r="G398" s="1"/>
      <c r="H398" s="1"/>
      <c r="I398" s="2"/>
    </row>
    <row r="399" spans="1:9" x14ac:dyDescent="0.35">
      <c r="A399" s="1"/>
      <c r="B399" s="1"/>
      <c r="C399" s="1"/>
      <c r="D399" s="1"/>
      <c r="G399" s="1"/>
      <c r="H399" s="1"/>
      <c r="I399" s="2"/>
    </row>
    <row r="400" spans="1:9" x14ac:dyDescent="0.35">
      <c r="A400" s="1"/>
      <c r="B400" s="1"/>
      <c r="C400" s="1"/>
      <c r="D400" s="1"/>
      <c r="G400" s="1"/>
      <c r="H400" s="1"/>
      <c r="I400" s="2"/>
    </row>
    <row r="401" spans="1:9" x14ac:dyDescent="0.35">
      <c r="A401" s="1"/>
      <c r="B401" s="1"/>
      <c r="C401" s="1"/>
      <c r="D401" s="1"/>
      <c r="G401" s="1"/>
      <c r="H401" s="1"/>
      <c r="I401" s="2"/>
    </row>
    <row r="402" spans="1:9" x14ac:dyDescent="0.35">
      <c r="A402" s="1"/>
      <c r="B402" s="1"/>
      <c r="C402" s="1"/>
      <c r="D402" s="1"/>
      <c r="G402" s="1"/>
      <c r="H402" s="1"/>
      <c r="I402" s="2"/>
    </row>
    <row r="403" spans="1:9" x14ac:dyDescent="0.35">
      <c r="A403" s="1"/>
      <c r="B403" s="1"/>
      <c r="C403" s="1"/>
      <c r="D403" s="1"/>
      <c r="G403" s="1"/>
      <c r="H403" s="1"/>
      <c r="I403" s="2"/>
    </row>
    <row r="404" spans="1:9" x14ac:dyDescent="0.35">
      <c r="A404" s="1"/>
      <c r="B404" s="1"/>
      <c r="C404" s="1"/>
      <c r="D404" s="1"/>
      <c r="G404" s="1"/>
      <c r="H404" s="1"/>
      <c r="I404" s="2"/>
    </row>
    <row r="405" spans="1:9" x14ac:dyDescent="0.35">
      <c r="A405" s="1"/>
      <c r="B405" s="1"/>
      <c r="C405" s="1"/>
      <c r="D405" s="1"/>
      <c r="G405" s="1"/>
      <c r="H405" s="1"/>
      <c r="I405" s="2"/>
    </row>
    <row r="406" spans="1:9" x14ac:dyDescent="0.35">
      <c r="A406" s="1"/>
      <c r="B406" s="1"/>
      <c r="C406" s="1"/>
      <c r="D406" s="1"/>
      <c r="G406" s="1"/>
      <c r="H406" s="1"/>
      <c r="I406" s="2"/>
    </row>
    <row r="407" spans="1:9" x14ac:dyDescent="0.35">
      <c r="A407" s="1"/>
      <c r="B407" s="1"/>
      <c r="C407" s="1"/>
      <c r="D407" s="1"/>
      <c r="G407" s="1"/>
      <c r="H407" s="1"/>
      <c r="I407" s="2"/>
    </row>
    <row r="408" spans="1:9" x14ac:dyDescent="0.35">
      <c r="A408" s="1"/>
      <c r="B408" s="1"/>
      <c r="C408" s="1"/>
      <c r="D408" s="1"/>
      <c r="G408" s="1"/>
      <c r="H408" s="1"/>
      <c r="I408" s="2"/>
    </row>
    <row r="409" spans="1:9" x14ac:dyDescent="0.35">
      <c r="A409" s="1"/>
      <c r="B409" s="1"/>
      <c r="C409" s="1"/>
      <c r="D409" s="1"/>
      <c r="G409" s="1"/>
      <c r="H409" s="1"/>
      <c r="I409" s="2"/>
    </row>
    <row r="410" spans="1:9" x14ac:dyDescent="0.35">
      <c r="A410" s="1"/>
      <c r="B410" s="1"/>
      <c r="C410" s="1"/>
      <c r="D410" s="1"/>
      <c r="G410" s="1"/>
      <c r="H410" s="1"/>
      <c r="I410" s="2"/>
    </row>
    <row r="411" spans="1:9" x14ac:dyDescent="0.35">
      <c r="A411" s="1"/>
      <c r="B411" s="1"/>
      <c r="C411" s="1"/>
      <c r="D411" s="1"/>
      <c r="G411" s="1"/>
      <c r="H411" s="1"/>
      <c r="I411" s="2"/>
    </row>
    <row r="412" spans="1:9" x14ac:dyDescent="0.35">
      <c r="A412" s="1"/>
      <c r="B412" s="1"/>
      <c r="C412" s="1"/>
      <c r="D412" s="1"/>
      <c r="G412" s="1"/>
      <c r="H412" s="1"/>
      <c r="I412" s="2"/>
    </row>
    <row r="413" spans="1:9" x14ac:dyDescent="0.35">
      <c r="A413" s="1"/>
      <c r="B413" s="1"/>
      <c r="C413" s="1"/>
      <c r="D413" s="1"/>
      <c r="G413" s="1"/>
      <c r="H413" s="1"/>
      <c r="I413" s="2"/>
    </row>
    <row r="414" spans="1:9" x14ac:dyDescent="0.35">
      <c r="A414" s="1"/>
      <c r="B414" s="1"/>
      <c r="C414" s="1"/>
      <c r="D414" s="1"/>
      <c r="G414" s="1"/>
      <c r="H414" s="1"/>
      <c r="I414" s="2"/>
    </row>
    <row r="415" spans="1:9" x14ac:dyDescent="0.35">
      <c r="A415" s="1"/>
      <c r="B415" s="1"/>
      <c r="C415" s="1"/>
      <c r="D415" s="1"/>
      <c r="G415" s="1"/>
      <c r="H415" s="1"/>
      <c r="I415" s="2"/>
    </row>
    <row r="416" spans="1:9" x14ac:dyDescent="0.35">
      <c r="A416" s="1"/>
      <c r="B416" s="1"/>
      <c r="C416" s="1"/>
      <c r="D416" s="1"/>
      <c r="G416" s="1"/>
      <c r="H416" s="1"/>
      <c r="I416" s="2"/>
    </row>
    <row r="417" spans="1:9" x14ac:dyDescent="0.35">
      <c r="A417" s="1"/>
      <c r="B417" s="1"/>
      <c r="C417" s="1"/>
      <c r="D417" s="1"/>
      <c r="G417" s="1"/>
      <c r="H417" s="1"/>
      <c r="I417" s="2"/>
    </row>
    <row r="418" spans="1:9" x14ac:dyDescent="0.35">
      <c r="A418" s="1"/>
      <c r="B418" s="1"/>
      <c r="C418" s="1"/>
      <c r="D418" s="1"/>
      <c r="G418" s="1"/>
      <c r="H418" s="1"/>
      <c r="I418" s="2"/>
    </row>
    <row r="419" spans="1:9" x14ac:dyDescent="0.35">
      <c r="A419" s="1"/>
      <c r="B419" s="1"/>
      <c r="C419" s="1"/>
      <c r="D419" s="1"/>
      <c r="G419" s="1"/>
      <c r="H419" s="1"/>
      <c r="I419" s="2"/>
    </row>
    <row r="420" spans="1:9" x14ac:dyDescent="0.35">
      <c r="A420" s="1"/>
      <c r="B420" s="1"/>
      <c r="C420" s="1"/>
      <c r="D420" s="1"/>
      <c r="G420" s="1"/>
      <c r="H420" s="1"/>
      <c r="I420" s="2"/>
    </row>
    <row r="421" spans="1:9" x14ac:dyDescent="0.35">
      <c r="A421" s="1"/>
      <c r="B421" s="1"/>
      <c r="C421" s="1"/>
      <c r="D421" s="1"/>
      <c r="G421" s="1"/>
      <c r="H421" s="1"/>
      <c r="I421" s="2"/>
    </row>
    <row r="422" spans="1:9" x14ac:dyDescent="0.35">
      <c r="A422" s="1"/>
      <c r="B422" s="1"/>
      <c r="C422" s="1"/>
      <c r="D422" s="1"/>
      <c r="G422" s="1"/>
      <c r="H422" s="1"/>
      <c r="I422" s="2"/>
    </row>
    <row r="423" spans="1:9" x14ac:dyDescent="0.35">
      <c r="A423" s="1"/>
      <c r="B423" s="1"/>
      <c r="C423" s="1"/>
      <c r="D423" s="1"/>
      <c r="G423" s="1"/>
      <c r="H423" s="1"/>
      <c r="I423" s="2"/>
    </row>
    <row r="424" spans="1:9" x14ac:dyDescent="0.35">
      <c r="A424" s="1"/>
      <c r="B424" s="1"/>
      <c r="C424" s="1"/>
      <c r="D424" s="1"/>
      <c r="G424" s="1"/>
      <c r="H424" s="1"/>
      <c r="I424" s="2"/>
    </row>
    <row r="425" spans="1:9" x14ac:dyDescent="0.35">
      <c r="A425" s="1"/>
      <c r="B425" s="1"/>
      <c r="C425" s="1"/>
      <c r="D425" s="1"/>
      <c r="G425" s="1"/>
      <c r="H425" s="1"/>
      <c r="I425" s="2"/>
    </row>
    <row r="426" spans="1:9" x14ac:dyDescent="0.35">
      <c r="A426" s="1"/>
      <c r="B426" s="1"/>
      <c r="C426" s="1"/>
      <c r="D426" s="1"/>
      <c r="G426" s="1"/>
      <c r="H426" s="1"/>
      <c r="I426" s="2"/>
    </row>
    <row r="427" spans="1:9" x14ac:dyDescent="0.35">
      <c r="A427" s="1"/>
      <c r="B427" s="1"/>
      <c r="C427" s="1"/>
      <c r="D427" s="1"/>
      <c r="G427" s="1"/>
      <c r="H427" s="1"/>
      <c r="I427" s="2"/>
    </row>
    <row r="428" spans="1:9" x14ac:dyDescent="0.35">
      <c r="A428" s="1"/>
      <c r="B428" s="1"/>
      <c r="C428" s="1"/>
      <c r="D428" s="1"/>
      <c r="G428" s="1"/>
      <c r="H428" s="1"/>
      <c r="I428" s="2"/>
    </row>
    <row r="429" spans="1:9" x14ac:dyDescent="0.35">
      <c r="A429" s="1"/>
      <c r="B429" s="1"/>
      <c r="C429" s="1"/>
      <c r="D429" s="1"/>
      <c r="G429" s="1"/>
      <c r="H429" s="1"/>
      <c r="I429" s="2"/>
    </row>
    <row r="430" spans="1:9" x14ac:dyDescent="0.35">
      <c r="A430" s="1"/>
      <c r="B430" s="1"/>
      <c r="C430" s="1"/>
      <c r="D430" s="1"/>
      <c r="G430" s="1"/>
      <c r="H430" s="1"/>
      <c r="I430" s="2"/>
    </row>
    <row r="431" spans="1:9" x14ac:dyDescent="0.35">
      <c r="A431" s="1"/>
      <c r="B431" s="1"/>
      <c r="C431" s="1"/>
      <c r="D431" s="1"/>
      <c r="G431" s="1"/>
      <c r="H431" s="1"/>
      <c r="I431" s="2"/>
    </row>
    <row r="432" spans="1:9" x14ac:dyDescent="0.35">
      <c r="A432" s="1"/>
      <c r="B432" s="1"/>
      <c r="C432" s="1"/>
      <c r="D432" s="1"/>
      <c r="G432" s="1"/>
      <c r="H432" s="1"/>
      <c r="I432" s="2"/>
    </row>
    <row r="433" spans="1:9" x14ac:dyDescent="0.35">
      <c r="A433" s="1"/>
      <c r="B433" s="1"/>
      <c r="C433" s="1"/>
      <c r="D433" s="1"/>
      <c r="G433" s="1"/>
      <c r="H433" s="1"/>
      <c r="I433" s="2"/>
    </row>
    <row r="434" spans="1:9" x14ac:dyDescent="0.35">
      <c r="A434" s="1"/>
      <c r="B434" s="1"/>
      <c r="C434" s="1"/>
      <c r="D434" s="1"/>
      <c r="G434" s="1"/>
      <c r="H434" s="1"/>
      <c r="I434" s="2"/>
    </row>
    <row r="435" spans="1:9" x14ac:dyDescent="0.35">
      <c r="A435" s="1"/>
      <c r="B435" s="1"/>
      <c r="C435" s="1"/>
      <c r="D435" s="1"/>
      <c r="G435" s="1"/>
      <c r="H435" s="1"/>
      <c r="I435" s="2"/>
    </row>
    <row r="436" spans="1:9" x14ac:dyDescent="0.35">
      <c r="A436" s="1"/>
      <c r="B436" s="1"/>
      <c r="C436" s="1"/>
      <c r="D436" s="1"/>
      <c r="G436" s="1"/>
      <c r="H436" s="1"/>
      <c r="I436" s="2"/>
    </row>
    <row r="437" spans="1:9" x14ac:dyDescent="0.35">
      <c r="A437" s="1"/>
      <c r="B437" s="1"/>
      <c r="C437" s="1"/>
      <c r="D437" s="1"/>
      <c r="G437" s="1"/>
      <c r="H437" s="1"/>
      <c r="I437" s="2"/>
    </row>
    <row r="438" spans="1:9" x14ac:dyDescent="0.35">
      <c r="A438" s="1"/>
      <c r="B438" s="1"/>
      <c r="C438" s="1"/>
      <c r="D438" s="1"/>
      <c r="G438" s="1"/>
      <c r="H438" s="1"/>
      <c r="I438" s="2"/>
    </row>
    <row r="439" spans="1:9" x14ac:dyDescent="0.35">
      <c r="A439" s="1"/>
      <c r="B439" s="1"/>
      <c r="C439" s="1"/>
      <c r="D439" s="1"/>
      <c r="G439" s="1"/>
      <c r="H439" s="1"/>
      <c r="I439" s="2"/>
    </row>
    <row r="440" spans="1:9" x14ac:dyDescent="0.35">
      <c r="A440" s="1"/>
      <c r="B440" s="1"/>
      <c r="C440" s="1"/>
      <c r="D440" s="1"/>
      <c r="G440" s="1"/>
      <c r="H440" s="1"/>
      <c r="I440" s="2"/>
    </row>
    <row r="441" spans="1:9" x14ac:dyDescent="0.35">
      <c r="A441" s="1"/>
      <c r="B441" s="1"/>
      <c r="C441" s="1"/>
      <c r="D441" s="1"/>
      <c r="G441" s="1"/>
      <c r="H441" s="1"/>
      <c r="I441" s="2"/>
    </row>
    <row r="442" spans="1:9" x14ac:dyDescent="0.35">
      <c r="A442" s="1"/>
      <c r="B442" s="1"/>
      <c r="C442" s="1"/>
      <c r="D442" s="1"/>
      <c r="G442" s="1"/>
      <c r="H442" s="1"/>
      <c r="I442" s="2"/>
    </row>
    <row r="443" spans="1:9" x14ac:dyDescent="0.35">
      <c r="A443" s="1"/>
      <c r="B443" s="1"/>
      <c r="C443" s="1"/>
      <c r="D443" s="1"/>
      <c r="G443" s="1"/>
      <c r="H443" s="1"/>
      <c r="I443" s="2"/>
    </row>
    <row r="444" spans="1:9" x14ac:dyDescent="0.35">
      <c r="A444" s="1"/>
      <c r="B444" s="1"/>
      <c r="C444" s="1"/>
      <c r="D444" s="1"/>
      <c r="G444" s="1"/>
      <c r="H444" s="1"/>
      <c r="I444" s="2"/>
    </row>
    <row r="445" spans="1:9" x14ac:dyDescent="0.35">
      <c r="A445" s="1"/>
      <c r="B445" s="1"/>
      <c r="C445" s="1"/>
      <c r="D445" s="1"/>
      <c r="G445" s="1"/>
      <c r="H445" s="1"/>
      <c r="I445" s="2"/>
    </row>
    <row r="446" spans="1:9" x14ac:dyDescent="0.35">
      <c r="A446" s="1"/>
      <c r="B446" s="1"/>
      <c r="C446" s="1"/>
      <c r="D446" s="1"/>
      <c r="G446" s="1"/>
      <c r="H446" s="1"/>
      <c r="I446" s="2"/>
    </row>
    <row r="447" spans="1:9" x14ac:dyDescent="0.35">
      <c r="A447" s="1"/>
      <c r="B447" s="1"/>
      <c r="C447" s="1"/>
      <c r="D447" s="1"/>
      <c r="G447" s="1"/>
      <c r="H447" s="1"/>
      <c r="I447" s="2"/>
    </row>
    <row r="448" spans="1:9" x14ac:dyDescent="0.35">
      <c r="A448" s="1"/>
      <c r="B448" s="1"/>
      <c r="C448" s="1"/>
      <c r="D448" s="1"/>
      <c r="G448" s="1"/>
      <c r="H448" s="1"/>
      <c r="I448" s="2"/>
    </row>
    <row r="449" spans="1:9" x14ac:dyDescent="0.35">
      <c r="A449" s="1"/>
      <c r="B449" s="1"/>
      <c r="C449" s="1"/>
      <c r="D449" s="1"/>
      <c r="G449" s="1"/>
      <c r="H449" s="1"/>
      <c r="I449" s="2"/>
    </row>
    <row r="450" spans="1:9" x14ac:dyDescent="0.35">
      <c r="A450" s="1"/>
      <c r="B450" s="1"/>
      <c r="C450" s="1"/>
      <c r="D450" s="1"/>
      <c r="G450" s="1"/>
      <c r="H450" s="1"/>
      <c r="I450" s="2"/>
    </row>
    <row r="451" spans="1:9" x14ac:dyDescent="0.35">
      <c r="A451" s="1"/>
      <c r="B451" s="1"/>
      <c r="C451" s="1"/>
      <c r="D451" s="1"/>
      <c r="G451" s="1"/>
      <c r="H451" s="1"/>
      <c r="I451" s="2"/>
    </row>
    <row r="452" spans="1:9" x14ac:dyDescent="0.35">
      <c r="A452" s="1"/>
      <c r="B452" s="1"/>
      <c r="C452" s="1"/>
      <c r="D452" s="1"/>
      <c r="G452" s="1"/>
      <c r="H452" s="1"/>
      <c r="I452" s="2"/>
    </row>
    <row r="453" spans="1:9" x14ac:dyDescent="0.35">
      <c r="A453" s="1"/>
      <c r="B453" s="1"/>
      <c r="C453" s="1"/>
      <c r="D453" s="1"/>
      <c r="G453" s="1"/>
      <c r="H453" s="1"/>
      <c r="I453" s="2"/>
    </row>
    <row r="454" spans="1:9" x14ac:dyDescent="0.35">
      <c r="A454" s="1"/>
      <c r="B454" s="1"/>
      <c r="C454" s="1"/>
      <c r="D454" s="1"/>
      <c r="G454" s="1"/>
      <c r="H454" s="1"/>
      <c r="I454" s="2"/>
    </row>
    <row r="455" spans="1:9" x14ac:dyDescent="0.35">
      <c r="A455" s="1"/>
      <c r="B455" s="1"/>
      <c r="C455" s="1"/>
      <c r="D455" s="1"/>
      <c r="G455" s="1"/>
      <c r="H455" s="1"/>
      <c r="I455" s="2"/>
    </row>
    <row r="456" spans="1:9" x14ac:dyDescent="0.35">
      <c r="A456" s="1"/>
      <c r="B456" s="1"/>
      <c r="C456" s="1"/>
      <c r="D456" s="1"/>
      <c r="G456" s="1"/>
      <c r="H456" s="1"/>
      <c r="I456" s="2"/>
    </row>
    <row r="457" spans="1:9" x14ac:dyDescent="0.35">
      <c r="A457" s="1"/>
      <c r="B457" s="1"/>
      <c r="C457" s="1"/>
      <c r="D457" s="1"/>
      <c r="G457" s="1"/>
      <c r="H457" s="1"/>
      <c r="I457" s="2"/>
    </row>
    <row r="458" spans="1:9" x14ac:dyDescent="0.35">
      <c r="A458" s="1"/>
      <c r="B458" s="1"/>
      <c r="C458" s="1"/>
      <c r="D458" s="1"/>
      <c r="G458" s="1"/>
      <c r="H458" s="1"/>
      <c r="I458" s="2"/>
    </row>
    <row r="459" spans="1:9" x14ac:dyDescent="0.35">
      <c r="A459" s="1"/>
      <c r="B459" s="1"/>
      <c r="C459" s="1"/>
      <c r="D459" s="1"/>
      <c r="G459" s="1"/>
      <c r="H459" s="1"/>
      <c r="I459" s="2"/>
    </row>
    <row r="460" spans="1:9" x14ac:dyDescent="0.35">
      <c r="A460" s="1"/>
      <c r="B460" s="1"/>
      <c r="C460" s="1"/>
      <c r="D460" s="1"/>
      <c r="G460" s="1"/>
      <c r="H460" s="1"/>
      <c r="I460" s="2"/>
    </row>
    <row r="461" spans="1:9" x14ac:dyDescent="0.35">
      <c r="A461" s="1"/>
      <c r="B461" s="1"/>
      <c r="C461" s="1"/>
      <c r="D461" s="1"/>
      <c r="G461" s="1"/>
      <c r="H461" s="1"/>
      <c r="I461" s="2"/>
    </row>
    <row r="462" spans="1:9" x14ac:dyDescent="0.35">
      <c r="A462" s="1"/>
      <c r="B462" s="1"/>
      <c r="C462" s="1"/>
      <c r="D462" s="1"/>
      <c r="G462" s="1"/>
      <c r="H462" s="1"/>
      <c r="I462" s="2"/>
    </row>
    <row r="463" spans="1:9" x14ac:dyDescent="0.35">
      <c r="A463" s="1"/>
      <c r="B463" s="1"/>
      <c r="C463" s="1"/>
      <c r="D463" s="1"/>
      <c r="G463" s="1"/>
      <c r="H463" s="1"/>
      <c r="I463" s="2"/>
    </row>
    <row r="464" spans="1:9" x14ac:dyDescent="0.35">
      <c r="A464" s="1"/>
      <c r="B464" s="1"/>
      <c r="C464" s="1"/>
      <c r="D464" s="1"/>
      <c r="G464" s="1"/>
      <c r="H464" s="1"/>
      <c r="I464" s="2"/>
    </row>
    <row r="465" spans="1:9" x14ac:dyDescent="0.35">
      <c r="A465" s="1"/>
      <c r="B465" s="1"/>
      <c r="C465" s="1"/>
      <c r="D465" s="1"/>
      <c r="G465" s="1"/>
      <c r="H465" s="1"/>
      <c r="I465" s="2"/>
    </row>
    <row r="466" spans="1:9" x14ac:dyDescent="0.35">
      <c r="A466" s="1"/>
      <c r="B466" s="1"/>
      <c r="C466" s="1"/>
      <c r="D466" s="1"/>
      <c r="G466" s="1"/>
      <c r="H466" s="1"/>
      <c r="I466" s="2"/>
    </row>
    <row r="467" spans="1:9" x14ac:dyDescent="0.35">
      <c r="A467" s="1"/>
      <c r="B467" s="1"/>
      <c r="C467" s="1"/>
      <c r="D467" s="1"/>
      <c r="G467" s="1"/>
      <c r="H467" s="1"/>
      <c r="I467" s="2"/>
    </row>
    <row r="468" spans="1:9" x14ac:dyDescent="0.35">
      <c r="A468" s="1"/>
      <c r="B468" s="1"/>
      <c r="C468" s="1"/>
      <c r="D468" s="1"/>
      <c r="G468" s="1"/>
      <c r="H468" s="1"/>
      <c r="I468" s="2"/>
    </row>
    <row r="469" spans="1:9" x14ac:dyDescent="0.35">
      <c r="A469" s="1"/>
      <c r="B469" s="1"/>
      <c r="C469" s="1"/>
      <c r="D469" s="1"/>
      <c r="G469" s="1"/>
      <c r="H469" s="1"/>
      <c r="I469" s="2"/>
    </row>
    <row r="470" spans="1:9" x14ac:dyDescent="0.35">
      <c r="A470" s="1"/>
      <c r="B470" s="1"/>
      <c r="C470" s="1"/>
      <c r="D470" s="1"/>
      <c r="G470" s="1"/>
      <c r="H470" s="1"/>
      <c r="I470" s="2"/>
    </row>
    <row r="471" spans="1:9" x14ac:dyDescent="0.35">
      <c r="A471" s="1"/>
      <c r="B471" s="1"/>
      <c r="C471" s="1"/>
      <c r="D471" s="1"/>
      <c r="G471" s="1"/>
      <c r="H471" s="1"/>
      <c r="I471" s="2"/>
    </row>
    <row r="472" spans="1:9" x14ac:dyDescent="0.35">
      <c r="A472" s="1"/>
      <c r="B472" s="1"/>
      <c r="C472" s="1"/>
      <c r="D472" s="1"/>
      <c r="G472" s="1"/>
      <c r="H472" s="1"/>
      <c r="I472" s="2"/>
    </row>
    <row r="473" spans="1:9" x14ac:dyDescent="0.35">
      <c r="A473" s="1"/>
      <c r="B473" s="1"/>
      <c r="C473" s="1"/>
      <c r="D473" s="1"/>
      <c r="G473" s="1"/>
      <c r="H473" s="1"/>
      <c r="I473" s="2"/>
    </row>
    <row r="474" spans="1:9" x14ac:dyDescent="0.35">
      <c r="A474" s="1"/>
      <c r="B474" s="1"/>
      <c r="C474" s="1"/>
      <c r="D474" s="1"/>
      <c r="G474" s="1"/>
      <c r="H474" s="1"/>
      <c r="I474" s="2"/>
    </row>
    <row r="475" spans="1:9" x14ac:dyDescent="0.35">
      <c r="A475" s="1"/>
      <c r="B475" s="1"/>
      <c r="C475" s="1"/>
      <c r="D475" s="1"/>
      <c r="G475" s="1"/>
      <c r="H475" s="1"/>
      <c r="I475" s="2"/>
    </row>
    <row r="476" spans="1:9" x14ac:dyDescent="0.35">
      <c r="A476" s="1"/>
      <c r="B476" s="1"/>
      <c r="C476" s="1"/>
      <c r="D476" s="1"/>
      <c r="G476" s="1"/>
      <c r="H476" s="1"/>
      <c r="I476" s="2"/>
    </row>
    <row r="477" spans="1:9" x14ac:dyDescent="0.35">
      <c r="A477" s="1"/>
      <c r="B477" s="1"/>
      <c r="C477" s="1"/>
      <c r="D477" s="1"/>
      <c r="G477" s="1"/>
      <c r="H477" s="1"/>
      <c r="I477" s="2"/>
    </row>
    <row r="478" spans="1:9" x14ac:dyDescent="0.35">
      <c r="A478" s="1"/>
      <c r="B478" s="1"/>
      <c r="C478" s="1"/>
      <c r="D478" s="1"/>
      <c r="G478" s="1"/>
      <c r="H478" s="1"/>
      <c r="I478" s="2"/>
    </row>
    <row r="479" spans="1:9" x14ac:dyDescent="0.35">
      <c r="A479" s="1"/>
      <c r="B479" s="1"/>
      <c r="C479" s="1"/>
      <c r="D479" s="1"/>
      <c r="G479" s="1"/>
      <c r="H479" s="1"/>
      <c r="I479" s="2"/>
    </row>
    <row r="480" spans="1:9" x14ac:dyDescent="0.35">
      <c r="A480" s="1"/>
      <c r="B480" s="1"/>
      <c r="C480" s="1"/>
      <c r="D480" s="1"/>
      <c r="G480" s="1"/>
      <c r="H480" s="1"/>
      <c r="I480" s="2"/>
    </row>
    <row r="481" spans="1:9" x14ac:dyDescent="0.35">
      <c r="A481" s="1"/>
      <c r="B481" s="1"/>
      <c r="C481" s="1"/>
      <c r="D481" s="1"/>
      <c r="G481" s="1"/>
      <c r="H481" s="1"/>
      <c r="I481" s="2"/>
    </row>
    <row r="482" spans="1:9" x14ac:dyDescent="0.35">
      <c r="A482" s="1"/>
      <c r="B482" s="1"/>
      <c r="C482" s="1"/>
      <c r="D482" s="1"/>
      <c r="G482" s="1"/>
      <c r="H482" s="1"/>
      <c r="I482" s="2"/>
    </row>
    <row r="483" spans="1:9" x14ac:dyDescent="0.35">
      <c r="A483" s="1"/>
      <c r="B483" s="1"/>
      <c r="C483" s="1"/>
      <c r="D483" s="1"/>
      <c r="G483" s="1"/>
      <c r="H483" s="1"/>
      <c r="I483" s="2"/>
    </row>
    <row r="484" spans="1:9" x14ac:dyDescent="0.35">
      <c r="A484" s="1"/>
      <c r="B484" s="1"/>
      <c r="C484" s="1"/>
      <c r="D484" s="1"/>
      <c r="G484" s="1"/>
      <c r="H484" s="1"/>
      <c r="I484" s="2"/>
    </row>
    <row r="485" spans="1:9" x14ac:dyDescent="0.35">
      <c r="A485" s="1"/>
      <c r="B485" s="1"/>
      <c r="C485" s="1"/>
      <c r="D485" s="1"/>
      <c r="G485" s="1"/>
      <c r="H485" s="1"/>
      <c r="I485" s="2"/>
    </row>
    <row r="486" spans="1:9" x14ac:dyDescent="0.35">
      <c r="A486" s="1"/>
      <c r="B486" s="1"/>
      <c r="C486" s="1"/>
      <c r="D486" s="1"/>
      <c r="G486" s="1"/>
      <c r="H486" s="1"/>
      <c r="I486" s="2"/>
    </row>
    <row r="487" spans="1:9" x14ac:dyDescent="0.35">
      <c r="A487" s="1"/>
      <c r="B487" s="1"/>
      <c r="C487" s="1"/>
      <c r="D487" s="1"/>
      <c r="G487" s="1"/>
      <c r="H487" s="1"/>
      <c r="I487" s="2"/>
    </row>
    <row r="488" spans="1:9" x14ac:dyDescent="0.35">
      <c r="A488" s="1"/>
      <c r="B488" s="1"/>
      <c r="C488" s="1"/>
      <c r="D488" s="1"/>
      <c r="G488" s="1"/>
      <c r="H488" s="1"/>
      <c r="I488" s="2"/>
    </row>
    <row r="489" spans="1:9" x14ac:dyDescent="0.35">
      <c r="A489" s="1"/>
      <c r="B489" s="1"/>
      <c r="C489" s="1"/>
      <c r="D489" s="1"/>
      <c r="G489" s="1"/>
      <c r="H489" s="1"/>
      <c r="I489" s="2"/>
    </row>
    <row r="490" spans="1:9" x14ac:dyDescent="0.35">
      <c r="A490" s="1"/>
      <c r="B490" s="1"/>
      <c r="C490" s="1"/>
      <c r="D490" s="1"/>
      <c r="G490" s="1"/>
      <c r="H490" s="1"/>
      <c r="I490" s="2"/>
    </row>
    <row r="491" spans="1:9" x14ac:dyDescent="0.35">
      <c r="A491" s="1"/>
      <c r="B491" s="1"/>
      <c r="C491" s="1"/>
      <c r="D491" s="1"/>
      <c r="G491" s="1"/>
      <c r="H491" s="1"/>
      <c r="I491" s="2"/>
    </row>
    <row r="492" spans="1:9" x14ac:dyDescent="0.35">
      <c r="A492" s="1"/>
      <c r="B492" s="1"/>
      <c r="C492" s="1"/>
      <c r="D492" s="1"/>
      <c r="G492" s="1"/>
      <c r="H492" s="1"/>
      <c r="I492" s="2"/>
    </row>
    <row r="493" spans="1:9" x14ac:dyDescent="0.35">
      <c r="A493" s="1"/>
      <c r="B493" s="1"/>
      <c r="C493" s="1"/>
      <c r="D493" s="1"/>
      <c r="G493" s="1"/>
      <c r="H493" s="1"/>
      <c r="I493" s="2"/>
    </row>
    <row r="494" spans="1:9" x14ac:dyDescent="0.35">
      <c r="A494" s="1"/>
      <c r="B494" s="1"/>
      <c r="C494" s="1"/>
      <c r="D494" s="1"/>
      <c r="G494" s="1"/>
      <c r="H494" s="1"/>
      <c r="I494" s="2"/>
    </row>
    <row r="495" spans="1:9" x14ac:dyDescent="0.35">
      <c r="A495" s="1"/>
      <c r="B495" s="1"/>
      <c r="C495" s="1"/>
      <c r="D495" s="1"/>
      <c r="G495" s="1"/>
      <c r="H495" s="1"/>
      <c r="I495" s="2"/>
    </row>
    <row r="496" spans="1:9" x14ac:dyDescent="0.35">
      <c r="A496" s="1"/>
      <c r="B496" s="1"/>
      <c r="C496" s="1"/>
      <c r="D496" s="1"/>
      <c r="G496" s="1"/>
      <c r="H496" s="1"/>
      <c r="I496" s="2"/>
    </row>
    <row r="497" spans="1:9" x14ac:dyDescent="0.35">
      <c r="A497" s="1"/>
      <c r="B497" s="1"/>
      <c r="C497" s="1"/>
      <c r="D497" s="1"/>
      <c r="G497" s="1"/>
      <c r="H497" s="1"/>
      <c r="I497" s="2"/>
    </row>
    <row r="498" spans="1:9" x14ac:dyDescent="0.35">
      <c r="A498" s="1"/>
      <c r="B498" s="1"/>
      <c r="C498" s="1"/>
      <c r="D498" s="1"/>
      <c r="G498" s="1"/>
      <c r="H498" s="1"/>
      <c r="I498" s="2"/>
    </row>
    <row r="499" spans="1:9" x14ac:dyDescent="0.35">
      <c r="A499" s="1"/>
      <c r="B499" s="1"/>
      <c r="C499" s="1"/>
      <c r="D499" s="1"/>
      <c r="G499" s="1"/>
      <c r="H499" s="1"/>
      <c r="I499" s="2"/>
    </row>
    <row r="500" spans="1:9" x14ac:dyDescent="0.35">
      <c r="A500" s="1"/>
      <c r="B500" s="1"/>
      <c r="C500" s="1"/>
      <c r="D500" s="1"/>
      <c r="G500" s="1"/>
      <c r="H500" s="1"/>
      <c r="I500" s="2"/>
    </row>
    <row r="501" spans="1:9" x14ac:dyDescent="0.35">
      <c r="A501" s="1"/>
      <c r="B501" s="1"/>
      <c r="C501" s="1"/>
      <c r="D501" s="1"/>
      <c r="G501" s="1"/>
      <c r="H501" s="1"/>
      <c r="I501" s="2"/>
    </row>
    <row r="502" spans="1:9" x14ac:dyDescent="0.35">
      <c r="A502" s="1"/>
      <c r="B502" s="1"/>
      <c r="C502" s="1"/>
      <c r="D502" s="1"/>
      <c r="G502" s="1"/>
      <c r="H502" s="1"/>
      <c r="I502" s="2"/>
    </row>
    <row r="503" spans="1:9" x14ac:dyDescent="0.35">
      <c r="A503" s="1"/>
      <c r="B503" s="1"/>
      <c r="C503" s="1"/>
      <c r="D503" s="1"/>
      <c r="G503" s="1"/>
      <c r="H503" s="1"/>
      <c r="I503" s="2"/>
    </row>
  </sheetData>
  <mergeCells count="1">
    <mergeCell ref="A125:D125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5A15-88DD-4D16-8802-944FC009327B}">
  <dimension ref="A1:F131"/>
  <sheetViews>
    <sheetView topLeftCell="A129" workbookViewId="0">
      <selection activeCell="A103" sqref="A103:C148"/>
    </sheetView>
  </sheetViews>
  <sheetFormatPr defaultRowHeight="14.5" x14ac:dyDescent="0.35"/>
  <cols>
    <col min="1" max="1" width="19.90625" bestFit="1" customWidth="1"/>
    <col min="2" max="2" width="20.54296875" bestFit="1" customWidth="1"/>
    <col min="3" max="3" width="18.26953125" bestFit="1" customWidth="1"/>
    <col min="4" max="4" width="16" bestFit="1" customWidth="1"/>
    <col min="5" max="5" width="17.7265625" bestFit="1" customWidth="1"/>
    <col min="6" max="6" width="11.26953125" bestFit="1" customWidth="1"/>
  </cols>
  <sheetData>
    <row r="1" spans="1:6" x14ac:dyDescent="0.35">
      <c r="A1" t="s">
        <v>0</v>
      </c>
      <c r="B1" t="s">
        <v>7</v>
      </c>
      <c r="C1" t="s">
        <v>1049</v>
      </c>
      <c r="D1" t="s">
        <v>1050</v>
      </c>
      <c r="E1" t="s">
        <v>1051</v>
      </c>
      <c r="F1" t="s">
        <v>1052</v>
      </c>
    </row>
    <row r="2" spans="1:6" x14ac:dyDescent="0.35">
      <c r="A2" s="1" t="s">
        <v>412</v>
      </c>
      <c r="B2" s="1" t="s">
        <v>42</v>
      </c>
      <c r="C2">
        <v>422</v>
      </c>
      <c r="D2" s="1" t="s">
        <v>1053</v>
      </c>
      <c r="E2" s="1" t="s">
        <v>1054</v>
      </c>
      <c r="F2" s="2">
        <v>45659</v>
      </c>
    </row>
    <row r="3" spans="1:6" x14ac:dyDescent="0.35">
      <c r="A3" s="1" t="s">
        <v>453</v>
      </c>
      <c r="B3" s="1" t="s">
        <v>23</v>
      </c>
      <c r="C3">
        <v>423</v>
      </c>
      <c r="D3" s="1" t="s">
        <v>1055</v>
      </c>
      <c r="E3" s="1" t="s">
        <v>1056</v>
      </c>
      <c r="F3" s="2">
        <v>45697</v>
      </c>
    </row>
    <row r="4" spans="1:6" x14ac:dyDescent="0.35">
      <c r="A4" s="1" t="s">
        <v>237</v>
      </c>
      <c r="B4" s="1" t="s">
        <v>18</v>
      </c>
      <c r="C4">
        <v>119</v>
      </c>
      <c r="D4" s="1" t="s">
        <v>1055</v>
      </c>
      <c r="E4" s="1" t="s">
        <v>1056</v>
      </c>
      <c r="F4" s="2">
        <v>45749</v>
      </c>
    </row>
    <row r="5" spans="1:6" x14ac:dyDescent="0.35">
      <c r="A5" s="1" t="s">
        <v>331</v>
      </c>
      <c r="B5" s="1" t="s">
        <v>18</v>
      </c>
      <c r="C5">
        <v>182</v>
      </c>
      <c r="D5" s="1" t="s">
        <v>1055</v>
      </c>
      <c r="E5" s="1" t="s">
        <v>1054</v>
      </c>
      <c r="F5" s="2">
        <v>45721</v>
      </c>
    </row>
    <row r="6" spans="1:6" x14ac:dyDescent="0.35">
      <c r="A6" s="1" t="s">
        <v>323</v>
      </c>
      <c r="B6" s="1" t="s">
        <v>23</v>
      </c>
      <c r="C6">
        <v>435</v>
      </c>
      <c r="D6" s="1" t="s">
        <v>1057</v>
      </c>
      <c r="E6" s="1" t="s">
        <v>1056</v>
      </c>
      <c r="F6" s="2">
        <v>45687</v>
      </c>
    </row>
    <row r="7" spans="1:6" x14ac:dyDescent="0.35">
      <c r="A7" s="1" t="s">
        <v>124</v>
      </c>
      <c r="B7" s="1" t="s">
        <v>33</v>
      </c>
      <c r="C7">
        <v>141</v>
      </c>
      <c r="D7" s="1" t="s">
        <v>1055</v>
      </c>
      <c r="E7" s="1" t="s">
        <v>1056</v>
      </c>
      <c r="F7" s="2">
        <v>45749</v>
      </c>
    </row>
    <row r="8" spans="1:6" x14ac:dyDescent="0.35">
      <c r="A8" s="1" t="s">
        <v>474</v>
      </c>
      <c r="B8" s="1" t="s">
        <v>14</v>
      </c>
      <c r="C8">
        <v>451</v>
      </c>
      <c r="D8" s="1" t="s">
        <v>1055</v>
      </c>
      <c r="E8" s="1" t="s">
        <v>1056</v>
      </c>
      <c r="F8" s="2">
        <v>45679</v>
      </c>
    </row>
    <row r="9" spans="1:6" x14ac:dyDescent="0.35">
      <c r="A9" s="1" t="s">
        <v>487</v>
      </c>
      <c r="B9" s="1" t="s">
        <v>18</v>
      </c>
      <c r="C9">
        <v>63</v>
      </c>
      <c r="D9" s="1" t="s">
        <v>1058</v>
      </c>
      <c r="E9" s="1" t="s">
        <v>1054</v>
      </c>
      <c r="F9" s="2">
        <v>45669</v>
      </c>
    </row>
    <row r="10" spans="1:6" x14ac:dyDescent="0.35">
      <c r="A10" s="1" t="s">
        <v>483</v>
      </c>
      <c r="B10" s="1" t="s">
        <v>23</v>
      </c>
      <c r="C10">
        <v>379</v>
      </c>
      <c r="D10" s="1" t="s">
        <v>1053</v>
      </c>
      <c r="E10" s="1" t="s">
        <v>1054</v>
      </c>
      <c r="F10" s="2">
        <v>45732</v>
      </c>
    </row>
    <row r="11" spans="1:6" x14ac:dyDescent="0.35">
      <c r="A11" s="1" t="s">
        <v>499</v>
      </c>
      <c r="B11" s="1" t="s">
        <v>23</v>
      </c>
      <c r="C11">
        <v>427</v>
      </c>
      <c r="D11" s="1" t="s">
        <v>1053</v>
      </c>
      <c r="E11" s="1" t="s">
        <v>1054</v>
      </c>
      <c r="F11" s="2">
        <v>45688</v>
      </c>
    </row>
    <row r="12" spans="1:6" x14ac:dyDescent="0.35">
      <c r="A12" s="1" t="s">
        <v>235</v>
      </c>
      <c r="B12" s="1" t="s">
        <v>33</v>
      </c>
      <c r="C12">
        <v>336</v>
      </c>
      <c r="D12" s="1" t="s">
        <v>1055</v>
      </c>
      <c r="E12" s="1" t="s">
        <v>1056</v>
      </c>
      <c r="F12" s="2">
        <v>45737</v>
      </c>
    </row>
    <row r="13" spans="1:6" x14ac:dyDescent="0.35">
      <c r="A13" s="1" t="s">
        <v>397</v>
      </c>
      <c r="B13" s="1" t="s">
        <v>33</v>
      </c>
      <c r="C13">
        <v>400</v>
      </c>
      <c r="D13" s="1" t="s">
        <v>1053</v>
      </c>
      <c r="E13" s="1" t="s">
        <v>1054</v>
      </c>
      <c r="F13" s="2">
        <v>45773</v>
      </c>
    </row>
    <row r="14" spans="1:6" x14ac:dyDescent="0.35">
      <c r="A14" s="1" t="s">
        <v>415</v>
      </c>
      <c r="B14" s="1" t="s">
        <v>42</v>
      </c>
      <c r="C14">
        <v>164</v>
      </c>
      <c r="D14" s="1" t="s">
        <v>1058</v>
      </c>
      <c r="E14" s="1" t="s">
        <v>1056</v>
      </c>
      <c r="F14" s="2">
        <v>45684</v>
      </c>
    </row>
    <row r="15" spans="1:6" x14ac:dyDescent="0.35">
      <c r="A15" s="1" t="s">
        <v>449</v>
      </c>
      <c r="B15" s="1" t="s">
        <v>18</v>
      </c>
      <c r="C15">
        <v>346</v>
      </c>
      <c r="D15" s="1" t="s">
        <v>1058</v>
      </c>
      <c r="E15" s="1" t="s">
        <v>1056</v>
      </c>
      <c r="F15" s="2">
        <v>45741</v>
      </c>
    </row>
    <row r="16" spans="1:6" x14ac:dyDescent="0.35">
      <c r="A16" s="1" t="s">
        <v>519</v>
      </c>
      <c r="B16" s="1" t="s">
        <v>42</v>
      </c>
      <c r="C16">
        <v>382</v>
      </c>
      <c r="D16" s="1" t="s">
        <v>1055</v>
      </c>
      <c r="E16" s="1" t="s">
        <v>1056</v>
      </c>
      <c r="F16" s="2">
        <v>45659</v>
      </c>
    </row>
    <row r="17" spans="1:6" x14ac:dyDescent="0.35">
      <c r="A17" s="1" t="s">
        <v>438</v>
      </c>
      <c r="B17" s="1" t="s">
        <v>23</v>
      </c>
      <c r="C17">
        <v>69</v>
      </c>
      <c r="D17" s="1" t="s">
        <v>1058</v>
      </c>
      <c r="E17" s="1" t="s">
        <v>1054</v>
      </c>
      <c r="F17" s="2">
        <v>45664</v>
      </c>
    </row>
    <row r="18" spans="1:6" x14ac:dyDescent="0.35">
      <c r="A18" s="1" t="s">
        <v>164</v>
      </c>
      <c r="B18" s="1" t="s">
        <v>14</v>
      </c>
      <c r="C18">
        <v>84</v>
      </c>
      <c r="D18" s="1" t="s">
        <v>1053</v>
      </c>
      <c r="E18" s="1" t="s">
        <v>1054</v>
      </c>
      <c r="F18" s="2">
        <v>45709</v>
      </c>
    </row>
    <row r="19" spans="1:6" x14ac:dyDescent="0.35">
      <c r="A19" s="1" t="s">
        <v>394</v>
      </c>
      <c r="B19" s="1" t="s">
        <v>14</v>
      </c>
      <c r="C19">
        <v>374</v>
      </c>
      <c r="D19" s="1" t="s">
        <v>1057</v>
      </c>
      <c r="E19" s="1" t="s">
        <v>1054</v>
      </c>
      <c r="F19" s="2">
        <v>45732</v>
      </c>
    </row>
    <row r="20" spans="1:6" x14ac:dyDescent="0.35">
      <c r="A20" s="1" t="s">
        <v>427</v>
      </c>
      <c r="B20" s="1" t="s">
        <v>33</v>
      </c>
      <c r="C20">
        <v>307</v>
      </c>
      <c r="D20" s="1" t="s">
        <v>1053</v>
      </c>
      <c r="E20" s="1" t="s">
        <v>1054</v>
      </c>
      <c r="F20" s="2">
        <v>45678</v>
      </c>
    </row>
    <row r="21" spans="1:6" x14ac:dyDescent="0.35">
      <c r="A21" s="1" t="s">
        <v>211</v>
      </c>
      <c r="B21" s="1" t="s">
        <v>14</v>
      </c>
      <c r="C21">
        <v>183</v>
      </c>
      <c r="D21" s="1" t="s">
        <v>1057</v>
      </c>
      <c r="E21" s="1" t="s">
        <v>1056</v>
      </c>
      <c r="F21" s="2">
        <v>45741</v>
      </c>
    </row>
    <row r="22" spans="1:6" x14ac:dyDescent="0.35">
      <c r="A22" s="1" t="s">
        <v>103</v>
      </c>
      <c r="B22" s="1" t="s">
        <v>14</v>
      </c>
      <c r="C22">
        <v>160</v>
      </c>
      <c r="D22" s="1" t="s">
        <v>1055</v>
      </c>
      <c r="E22" s="1" t="s">
        <v>1054</v>
      </c>
      <c r="F22" s="2">
        <v>45760</v>
      </c>
    </row>
    <row r="23" spans="1:6" x14ac:dyDescent="0.35">
      <c r="A23" s="1" t="s">
        <v>314</v>
      </c>
      <c r="B23" s="1" t="s">
        <v>14</v>
      </c>
      <c r="C23">
        <v>473</v>
      </c>
      <c r="D23" s="1" t="s">
        <v>1057</v>
      </c>
      <c r="E23" s="1" t="s">
        <v>1056</v>
      </c>
      <c r="F23" s="2">
        <v>45747</v>
      </c>
    </row>
    <row r="24" spans="1:6" x14ac:dyDescent="0.35">
      <c r="A24" s="1" t="s">
        <v>499</v>
      </c>
      <c r="B24" s="1" t="s">
        <v>23</v>
      </c>
      <c r="C24">
        <v>333</v>
      </c>
      <c r="D24" s="1" t="s">
        <v>1058</v>
      </c>
      <c r="E24" s="1" t="s">
        <v>1054</v>
      </c>
      <c r="F24" s="2">
        <v>45712</v>
      </c>
    </row>
    <row r="25" spans="1:6" x14ac:dyDescent="0.35">
      <c r="A25" s="1" t="s">
        <v>402</v>
      </c>
      <c r="B25" s="1" t="s">
        <v>14</v>
      </c>
      <c r="C25">
        <v>147</v>
      </c>
      <c r="D25" s="1" t="s">
        <v>1053</v>
      </c>
      <c r="E25" s="1" t="s">
        <v>1054</v>
      </c>
      <c r="F25" s="2">
        <v>45744</v>
      </c>
    </row>
    <row r="26" spans="1:6" x14ac:dyDescent="0.35">
      <c r="A26" s="1" t="s">
        <v>169</v>
      </c>
      <c r="B26" s="1" t="s">
        <v>14</v>
      </c>
      <c r="C26">
        <v>417</v>
      </c>
      <c r="D26" s="1" t="s">
        <v>1057</v>
      </c>
      <c r="E26" s="1" t="s">
        <v>1054</v>
      </c>
      <c r="F26" s="2">
        <v>45718</v>
      </c>
    </row>
    <row r="27" spans="1:6" x14ac:dyDescent="0.35">
      <c r="A27" s="1" t="s">
        <v>264</v>
      </c>
      <c r="B27" s="1" t="s">
        <v>14</v>
      </c>
      <c r="C27">
        <v>440</v>
      </c>
      <c r="D27" s="1" t="s">
        <v>1053</v>
      </c>
      <c r="E27" s="1" t="s">
        <v>1056</v>
      </c>
      <c r="F27" s="2">
        <v>45771</v>
      </c>
    </row>
    <row r="28" spans="1:6" x14ac:dyDescent="0.35">
      <c r="A28" s="1" t="s">
        <v>52</v>
      </c>
      <c r="B28" s="1" t="s">
        <v>42</v>
      </c>
      <c r="C28">
        <v>387</v>
      </c>
      <c r="D28" s="1" t="s">
        <v>1055</v>
      </c>
      <c r="E28" s="1" t="s">
        <v>1056</v>
      </c>
      <c r="F28" s="2">
        <v>45758</v>
      </c>
    </row>
    <row r="29" spans="1:6" x14ac:dyDescent="0.35">
      <c r="A29" s="1" t="s">
        <v>317</v>
      </c>
      <c r="B29" s="1" t="s">
        <v>23</v>
      </c>
      <c r="C29">
        <v>482</v>
      </c>
      <c r="D29" s="1" t="s">
        <v>1055</v>
      </c>
      <c r="E29" s="1" t="s">
        <v>1056</v>
      </c>
      <c r="F29" s="2">
        <v>45710</v>
      </c>
    </row>
    <row r="30" spans="1:6" x14ac:dyDescent="0.35">
      <c r="A30" s="1" t="s">
        <v>94</v>
      </c>
      <c r="B30" s="1" t="s">
        <v>33</v>
      </c>
      <c r="C30">
        <v>258</v>
      </c>
      <c r="D30" s="1" t="s">
        <v>1058</v>
      </c>
      <c r="E30" s="1" t="s">
        <v>1056</v>
      </c>
      <c r="F30" s="2">
        <v>45772</v>
      </c>
    </row>
    <row r="31" spans="1:6" x14ac:dyDescent="0.35">
      <c r="A31" s="1" t="s">
        <v>277</v>
      </c>
      <c r="B31" s="1" t="s">
        <v>42</v>
      </c>
      <c r="C31">
        <v>343</v>
      </c>
      <c r="D31" s="1" t="s">
        <v>1055</v>
      </c>
      <c r="E31" s="1" t="s">
        <v>1056</v>
      </c>
      <c r="F31" s="2">
        <v>45673</v>
      </c>
    </row>
    <row r="32" spans="1:6" x14ac:dyDescent="0.35">
      <c r="A32" s="1" t="s">
        <v>435</v>
      </c>
      <c r="B32" s="1" t="s">
        <v>18</v>
      </c>
      <c r="C32">
        <v>315</v>
      </c>
      <c r="D32" s="1" t="s">
        <v>1057</v>
      </c>
      <c r="E32" s="1" t="s">
        <v>1054</v>
      </c>
      <c r="F32" s="2">
        <v>45667</v>
      </c>
    </row>
    <row r="33" spans="1:6" x14ac:dyDescent="0.35">
      <c r="A33" s="1" t="s">
        <v>145</v>
      </c>
      <c r="B33" s="1" t="s">
        <v>23</v>
      </c>
      <c r="C33">
        <v>206</v>
      </c>
      <c r="D33" s="1" t="s">
        <v>1055</v>
      </c>
      <c r="E33" s="1" t="s">
        <v>1056</v>
      </c>
      <c r="F33" s="2">
        <v>45665</v>
      </c>
    </row>
    <row r="34" spans="1:6" x14ac:dyDescent="0.35">
      <c r="A34" s="1" t="s">
        <v>517</v>
      </c>
      <c r="B34" s="1" t="s">
        <v>23</v>
      </c>
      <c r="C34">
        <v>227</v>
      </c>
      <c r="D34" s="1" t="s">
        <v>1058</v>
      </c>
      <c r="E34" s="1" t="s">
        <v>1056</v>
      </c>
      <c r="F34" s="2">
        <v>45764</v>
      </c>
    </row>
    <row r="35" spans="1:6" x14ac:dyDescent="0.35">
      <c r="A35" s="1" t="s">
        <v>100</v>
      </c>
      <c r="B35" s="1" t="s">
        <v>18</v>
      </c>
      <c r="C35">
        <v>239</v>
      </c>
      <c r="D35" s="1" t="s">
        <v>1053</v>
      </c>
      <c r="E35" s="1" t="s">
        <v>1056</v>
      </c>
      <c r="F35" s="2">
        <v>45722</v>
      </c>
    </row>
    <row r="36" spans="1:6" x14ac:dyDescent="0.35">
      <c r="A36" s="1" t="s">
        <v>309</v>
      </c>
      <c r="B36" s="1" t="s">
        <v>18</v>
      </c>
      <c r="C36">
        <v>419</v>
      </c>
      <c r="D36" s="1" t="s">
        <v>1053</v>
      </c>
      <c r="E36" s="1" t="s">
        <v>1056</v>
      </c>
      <c r="F36" s="2">
        <v>45666</v>
      </c>
    </row>
    <row r="37" spans="1:6" x14ac:dyDescent="0.35">
      <c r="A37" s="1" t="s">
        <v>431</v>
      </c>
      <c r="B37" s="1" t="s">
        <v>18</v>
      </c>
      <c r="C37">
        <v>209</v>
      </c>
      <c r="D37" s="1" t="s">
        <v>1055</v>
      </c>
      <c r="E37" s="1" t="s">
        <v>1054</v>
      </c>
      <c r="F37" s="2">
        <v>45714</v>
      </c>
    </row>
    <row r="38" spans="1:6" x14ac:dyDescent="0.35">
      <c r="A38" s="1" t="s">
        <v>475</v>
      </c>
      <c r="B38" s="1" t="s">
        <v>33</v>
      </c>
      <c r="C38">
        <v>407</v>
      </c>
      <c r="D38" s="1" t="s">
        <v>1057</v>
      </c>
      <c r="E38" s="1" t="s">
        <v>1056</v>
      </c>
      <c r="F38" s="2">
        <v>45693</v>
      </c>
    </row>
    <row r="39" spans="1:6" x14ac:dyDescent="0.35">
      <c r="A39" s="1" t="s">
        <v>387</v>
      </c>
      <c r="B39" s="1" t="s">
        <v>14</v>
      </c>
      <c r="C39">
        <v>448</v>
      </c>
      <c r="D39" s="1" t="s">
        <v>1058</v>
      </c>
      <c r="E39" s="1" t="s">
        <v>1054</v>
      </c>
      <c r="F39" s="2">
        <v>45676</v>
      </c>
    </row>
    <row r="40" spans="1:6" x14ac:dyDescent="0.35">
      <c r="A40" s="1" t="s">
        <v>31</v>
      </c>
      <c r="B40" s="1" t="s">
        <v>23</v>
      </c>
      <c r="C40">
        <v>365</v>
      </c>
      <c r="D40" s="1" t="s">
        <v>1057</v>
      </c>
      <c r="E40" s="1" t="s">
        <v>1054</v>
      </c>
      <c r="F40" s="2">
        <v>45705</v>
      </c>
    </row>
    <row r="41" spans="1:6" x14ac:dyDescent="0.35">
      <c r="A41" s="1" t="s">
        <v>238</v>
      </c>
      <c r="B41" s="1" t="s">
        <v>14</v>
      </c>
      <c r="C41">
        <v>303</v>
      </c>
      <c r="D41" s="1" t="s">
        <v>1058</v>
      </c>
      <c r="E41" s="1" t="s">
        <v>1054</v>
      </c>
      <c r="F41" s="2">
        <v>45771</v>
      </c>
    </row>
    <row r="42" spans="1:6" x14ac:dyDescent="0.35">
      <c r="A42" s="1" t="s">
        <v>350</v>
      </c>
      <c r="B42" s="1" t="s">
        <v>14</v>
      </c>
      <c r="C42">
        <v>371</v>
      </c>
      <c r="D42" s="1" t="s">
        <v>1055</v>
      </c>
      <c r="E42" s="1" t="s">
        <v>1056</v>
      </c>
      <c r="F42" s="2">
        <v>45751</v>
      </c>
    </row>
    <row r="43" spans="1:6" x14ac:dyDescent="0.35">
      <c r="A43" s="1" t="s">
        <v>179</v>
      </c>
      <c r="B43" s="1" t="s">
        <v>18</v>
      </c>
      <c r="C43">
        <v>256</v>
      </c>
      <c r="D43" s="1" t="s">
        <v>1058</v>
      </c>
      <c r="E43" s="1" t="s">
        <v>1054</v>
      </c>
      <c r="F43" s="2">
        <v>45744</v>
      </c>
    </row>
    <row r="44" spans="1:6" x14ac:dyDescent="0.35">
      <c r="A44" s="1" t="s">
        <v>24</v>
      </c>
      <c r="B44" s="1" t="s">
        <v>33</v>
      </c>
      <c r="C44">
        <v>213</v>
      </c>
      <c r="D44" s="1" t="s">
        <v>1058</v>
      </c>
      <c r="E44" s="1" t="s">
        <v>1056</v>
      </c>
      <c r="F44" s="2">
        <v>45768</v>
      </c>
    </row>
    <row r="45" spans="1:6" x14ac:dyDescent="0.35">
      <c r="A45" s="1" t="s">
        <v>222</v>
      </c>
      <c r="B45" s="1" t="s">
        <v>42</v>
      </c>
      <c r="C45">
        <v>306</v>
      </c>
      <c r="D45" s="1" t="s">
        <v>1055</v>
      </c>
      <c r="E45" s="1" t="s">
        <v>1056</v>
      </c>
      <c r="F45" s="2">
        <v>45662</v>
      </c>
    </row>
    <row r="46" spans="1:6" x14ac:dyDescent="0.35">
      <c r="A46" s="1" t="s">
        <v>469</v>
      </c>
      <c r="B46" s="1" t="s">
        <v>33</v>
      </c>
      <c r="C46">
        <v>278</v>
      </c>
      <c r="D46" s="1" t="s">
        <v>1057</v>
      </c>
      <c r="E46" s="1" t="s">
        <v>1056</v>
      </c>
      <c r="F46" s="2">
        <v>45688</v>
      </c>
    </row>
    <row r="47" spans="1:6" x14ac:dyDescent="0.35">
      <c r="A47" s="1" t="s">
        <v>310</v>
      </c>
      <c r="B47" s="1" t="s">
        <v>14</v>
      </c>
      <c r="C47">
        <v>265</v>
      </c>
      <c r="D47" s="1" t="s">
        <v>1055</v>
      </c>
      <c r="E47" s="1" t="s">
        <v>1056</v>
      </c>
      <c r="F47" s="2">
        <v>45767</v>
      </c>
    </row>
    <row r="48" spans="1:6" x14ac:dyDescent="0.35">
      <c r="A48" s="1" t="s">
        <v>491</v>
      </c>
      <c r="B48" s="1" t="s">
        <v>33</v>
      </c>
      <c r="C48">
        <v>155</v>
      </c>
      <c r="D48" s="1" t="s">
        <v>1058</v>
      </c>
      <c r="E48" s="1" t="s">
        <v>1056</v>
      </c>
      <c r="F48" s="2">
        <v>45774</v>
      </c>
    </row>
    <row r="49" spans="1:6" x14ac:dyDescent="0.35">
      <c r="A49" s="1" t="s">
        <v>140</v>
      </c>
      <c r="B49" s="1" t="s">
        <v>18</v>
      </c>
      <c r="C49">
        <v>299</v>
      </c>
      <c r="D49" s="1" t="s">
        <v>1055</v>
      </c>
      <c r="E49" s="1" t="s">
        <v>1054</v>
      </c>
      <c r="F49" s="2">
        <v>45691</v>
      </c>
    </row>
    <row r="50" spans="1:6" x14ac:dyDescent="0.35">
      <c r="A50" s="1" t="s">
        <v>298</v>
      </c>
      <c r="B50" s="1" t="s">
        <v>42</v>
      </c>
      <c r="C50">
        <v>290</v>
      </c>
      <c r="D50" s="1" t="s">
        <v>1058</v>
      </c>
      <c r="E50" s="1" t="s">
        <v>1054</v>
      </c>
      <c r="F50" s="2">
        <v>45667</v>
      </c>
    </row>
    <row r="51" spans="1:6" x14ac:dyDescent="0.35">
      <c r="A51" s="1" t="s">
        <v>190</v>
      </c>
      <c r="B51" s="1" t="s">
        <v>18</v>
      </c>
      <c r="C51">
        <v>190</v>
      </c>
      <c r="D51" s="1" t="s">
        <v>1055</v>
      </c>
      <c r="E51" s="1" t="s">
        <v>1056</v>
      </c>
      <c r="F51" s="2">
        <v>45707</v>
      </c>
    </row>
    <row r="52" spans="1:6" x14ac:dyDescent="0.35">
      <c r="A52" s="1" t="s">
        <v>487</v>
      </c>
      <c r="B52" s="1" t="s">
        <v>42</v>
      </c>
      <c r="C52">
        <v>178</v>
      </c>
      <c r="D52" s="1" t="s">
        <v>1053</v>
      </c>
      <c r="E52" s="1" t="s">
        <v>1054</v>
      </c>
      <c r="F52" s="2">
        <v>45713</v>
      </c>
    </row>
    <row r="53" spans="1:6" x14ac:dyDescent="0.35">
      <c r="A53" s="1" t="s">
        <v>132</v>
      </c>
      <c r="B53" s="1" t="s">
        <v>14</v>
      </c>
      <c r="C53">
        <v>220</v>
      </c>
      <c r="D53" s="1" t="s">
        <v>1053</v>
      </c>
      <c r="E53" s="1" t="s">
        <v>1056</v>
      </c>
      <c r="F53" s="2">
        <v>45679</v>
      </c>
    </row>
    <row r="54" spans="1:6" x14ac:dyDescent="0.35">
      <c r="A54" s="1" t="s">
        <v>208</v>
      </c>
      <c r="B54" s="1" t="s">
        <v>42</v>
      </c>
      <c r="C54">
        <v>64</v>
      </c>
      <c r="D54" s="1" t="s">
        <v>1055</v>
      </c>
      <c r="E54" s="1" t="s">
        <v>1054</v>
      </c>
      <c r="F54" s="2">
        <v>45777</v>
      </c>
    </row>
    <row r="55" spans="1:6" x14ac:dyDescent="0.35">
      <c r="A55" s="1" t="s">
        <v>71</v>
      </c>
      <c r="B55" s="1" t="s">
        <v>42</v>
      </c>
      <c r="C55">
        <v>469</v>
      </c>
      <c r="D55" s="1" t="s">
        <v>1057</v>
      </c>
      <c r="E55" s="1" t="s">
        <v>1054</v>
      </c>
      <c r="F55" s="2">
        <v>45706</v>
      </c>
    </row>
    <row r="56" spans="1:6" x14ac:dyDescent="0.35">
      <c r="A56" s="1" t="s">
        <v>309</v>
      </c>
      <c r="B56" s="1" t="s">
        <v>42</v>
      </c>
      <c r="C56">
        <v>283</v>
      </c>
      <c r="D56" s="1" t="s">
        <v>1058</v>
      </c>
      <c r="E56" s="1" t="s">
        <v>1054</v>
      </c>
      <c r="F56" s="2">
        <v>45776</v>
      </c>
    </row>
    <row r="57" spans="1:6" x14ac:dyDescent="0.35">
      <c r="A57" s="1" t="s">
        <v>202</v>
      </c>
      <c r="B57" s="1" t="s">
        <v>33</v>
      </c>
      <c r="C57">
        <v>90</v>
      </c>
      <c r="D57" s="1" t="s">
        <v>1053</v>
      </c>
      <c r="E57" s="1" t="s">
        <v>1054</v>
      </c>
      <c r="F57" s="2">
        <v>45660</v>
      </c>
    </row>
    <row r="58" spans="1:6" x14ac:dyDescent="0.35">
      <c r="A58" s="1" t="s">
        <v>189</v>
      </c>
      <c r="B58" s="1" t="s">
        <v>33</v>
      </c>
      <c r="C58">
        <v>383</v>
      </c>
      <c r="D58" s="1" t="s">
        <v>1057</v>
      </c>
      <c r="E58" s="1" t="s">
        <v>1054</v>
      </c>
      <c r="F58" s="2">
        <v>45769</v>
      </c>
    </row>
    <row r="59" spans="1:6" x14ac:dyDescent="0.35">
      <c r="A59" s="1" t="s">
        <v>498</v>
      </c>
      <c r="B59" s="1" t="s">
        <v>14</v>
      </c>
      <c r="C59">
        <v>390</v>
      </c>
      <c r="D59" s="1" t="s">
        <v>1058</v>
      </c>
      <c r="E59" s="1" t="s">
        <v>1056</v>
      </c>
      <c r="F59" s="2">
        <v>45739</v>
      </c>
    </row>
    <row r="60" spans="1:6" x14ac:dyDescent="0.35">
      <c r="A60" s="1" t="s">
        <v>378</v>
      </c>
      <c r="B60" s="1" t="s">
        <v>42</v>
      </c>
      <c r="C60">
        <v>122</v>
      </c>
      <c r="D60" s="1" t="s">
        <v>1053</v>
      </c>
      <c r="E60" s="1" t="s">
        <v>1056</v>
      </c>
      <c r="F60" s="2">
        <v>45728</v>
      </c>
    </row>
    <row r="61" spans="1:6" x14ac:dyDescent="0.35">
      <c r="A61" s="1" t="s">
        <v>461</v>
      </c>
      <c r="B61" s="1" t="s">
        <v>23</v>
      </c>
      <c r="C61">
        <v>144</v>
      </c>
      <c r="D61" s="1" t="s">
        <v>1053</v>
      </c>
      <c r="E61" s="1" t="s">
        <v>1054</v>
      </c>
      <c r="F61" s="2">
        <v>45660</v>
      </c>
    </row>
    <row r="62" spans="1:6" x14ac:dyDescent="0.35">
      <c r="A62" s="1" t="s">
        <v>367</v>
      </c>
      <c r="B62" s="1" t="s">
        <v>14</v>
      </c>
      <c r="C62">
        <v>332</v>
      </c>
      <c r="D62" s="1" t="s">
        <v>1055</v>
      </c>
      <c r="E62" s="1" t="s">
        <v>1056</v>
      </c>
      <c r="F62" s="2">
        <v>45698</v>
      </c>
    </row>
    <row r="63" spans="1:6" x14ac:dyDescent="0.35">
      <c r="A63" s="1" t="s">
        <v>167</v>
      </c>
      <c r="B63" s="1" t="s">
        <v>42</v>
      </c>
      <c r="C63">
        <v>483</v>
      </c>
      <c r="D63" s="1" t="s">
        <v>1058</v>
      </c>
      <c r="E63" s="1" t="s">
        <v>1054</v>
      </c>
      <c r="F63" s="2">
        <v>45668</v>
      </c>
    </row>
    <row r="64" spans="1:6" x14ac:dyDescent="0.35">
      <c r="A64" s="1" t="s">
        <v>498</v>
      </c>
      <c r="B64" s="1" t="s">
        <v>42</v>
      </c>
      <c r="C64">
        <v>305</v>
      </c>
      <c r="D64" s="1" t="s">
        <v>1057</v>
      </c>
      <c r="E64" s="1" t="s">
        <v>1056</v>
      </c>
      <c r="F64" s="2">
        <v>45704</v>
      </c>
    </row>
    <row r="65" spans="1:6" x14ac:dyDescent="0.35">
      <c r="A65" s="1" t="s">
        <v>159</v>
      </c>
      <c r="B65" s="1" t="s">
        <v>33</v>
      </c>
      <c r="C65">
        <v>477</v>
      </c>
      <c r="D65" s="1" t="s">
        <v>1057</v>
      </c>
      <c r="E65" s="1" t="s">
        <v>1054</v>
      </c>
      <c r="F65" s="2">
        <v>45726</v>
      </c>
    </row>
    <row r="66" spans="1:6" x14ac:dyDescent="0.35">
      <c r="A66" s="1" t="s">
        <v>114</v>
      </c>
      <c r="B66" s="1" t="s">
        <v>14</v>
      </c>
      <c r="C66">
        <v>249</v>
      </c>
      <c r="D66" s="1" t="s">
        <v>1057</v>
      </c>
      <c r="E66" s="1" t="s">
        <v>1054</v>
      </c>
      <c r="F66" s="2">
        <v>45686</v>
      </c>
    </row>
    <row r="67" spans="1:6" x14ac:dyDescent="0.35">
      <c r="A67" s="1" t="s">
        <v>203</v>
      </c>
      <c r="B67" s="1" t="s">
        <v>42</v>
      </c>
      <c r="C67">
        <v>165</v>
      </c>
      <c r="D67" s="1" t="s">
        <v>1058</v>
      </c>
      <c r="E67" s="1" t="s">
        <v>1054</v>
      </c>
      <c r="F67" s="2">
        <v>45698</v>
      </c>
    </row>
    <row r="68" spans="1:6" x14ac:dyDescent="0.35">
      <c r="A68" s="1" t="s">
        <v>210</v>
      </c>
      <c r="B68" s="1" t="s">
        <v>42</v>
      </c>
      <c r="C68">
        <v>389</v>
      </c>
      <c r="D68" s="1" t="s">
        <v>1057</v>
      </c>
      <c r="E68" s="1" t="s">
        <v>1056</v>
      </c>
      <c r="F68" s="2">
        <v>45751</v>
      </c>
    </row>
    <row r="69" spans="1:6" x14ac:dyDescent="0.35">
      <c r="A69" s="1" t="s">
        <v>395</v>
      </c>
      <c r="B69" s="1" t="s">
        <v>14</v>
      </c>
      <c r="C69">
        <v>216</v>
      </c>
      <c r="D69" s="1" t="s">
        <v>1057</v>
      </c>
      <c r="E69" s="1" t="s">
        <v>1056</v>
      </c>
      <c r="F69" s="2">
        <v>45685</v>
      </c>
    </row>
    <row r="70" spans="1:6" x14ac:dyDescent="0.35">
      <c r="A70" s="1" t="s">
        <v>156</v>
      </c>
      <c r="B70" s="1" t="s">
        <v>23</v>
      </c>
      <c r="C70">
        <v>392</v>
      </c>
      <c r="D70" s="1" t="s">
        <v>1057</v>
      </c>
      <c r="E70" s="1" t="s">
        <v>1054</v>
      </c>
      <c r="F70" s="2">
        <v>45682</v>
      </c>
    </row>
    <row r="71" spans="1:6" x14ac:dyDescent="0.35">
      <c r="A71" s="1" t="s">
        <v>273</v>
      </c>
      <c r="B71" s="1" t="s">
        <v>14</v>
      </c>
      <c r="C71">
        <v>240</v>
      </c>
      <c r="D71" s="1" t="s">
        <v>1055</v>
      </c>
      <c r="E71" s="1" t="s">
        <v>1054</v>
      </c>
      <c r="F71" s="2">
        <v>45770</v>
      </c>
    </row>
    <row r="72" spans="1:6" x14ac:dyDescent="0.35">
      <c r="A72" s="1" t="s">
        <v>116</v>
      </c>
      <c r="B72" s="1" t="s">
        <v>14</v>
      </c>
      <c r="C72">
        <v>442</v>
      </c>
      <c r="D72" s="1" t="s">
        <v>1055</v>
      </c>
      <c r="E72" s="1" t="s">
        <v>1056</v>
      </c>
      <c r="F72" s="2">
        <v>45764</v>
      </c>
    </row>
    <row r="73" spans="1:6" x14ac:dyDescent="0.35">
      <c r="A73" s="1" t="s">
        <v>93</v>
      </c>
      <c r="B73" s="1" t="s">
        <v>23</v>
      </c>
      <c r="C73">
        <v>79</v>
      </c>
      <c r="D73" s="1" t="s">
        <v>1058</v>
      </c>
      <c r="E73" s="1" t="s">
        <v>1056</v>
      </c>
      <c r="F73" s="2">
        <v>45750</v>
      </c>
    </row>
    <row r="74" spans="1:6" x14ac:dyDescent="0.35">
      <c r="A74" s="1" t="s">
        <v>185</v>
      </c>
      <c r="B74" s="1" t="s">
        <v>14</v>
      </c>
      <c r="C74">
        <v>117</v>
      </c>
      <c r="D74" s="1" t="s">
        <v>1058</v>
      </c>
      <c r="E74" s="1" t="s">
        <v>1056</v>
      </c>
      <c r="F74" s="2">
        <v>45744</v>
      </c>
    </row>
    <row r="75" spans="1:6" x14ac:dyDescent="0.35">
      <c r="A75" s="1" t="s">
        <v>414</v>
      </c>
      <c r="B75" s="1" t="s">
        <v>42</v>
      </c>
      <c r="C75">
        <v>190</v>
      </c>
      <c r="D75" s="1" t="s">
        <v>1057</v>
      </c>
      <c r="E75" s="1" t="s">
        <v>1056</v>
      </c>
      <c r="F75" s="2">
        <v>45715</v>
      </c>
    </row>
    <row r="76" spans="1:6" x14ac:dyDescent="0.35">
      <c r="A76" s="1" t="s">
        <v>405</v>
      </c>
      <c r="B76" s="1" t="s">
        <v>14</v>
      </c>
      <c r="C76">
        <v>401</v>
      </c>
      <c r="D76" s="1" t="s">
        <v>1055</v>
      </c>
      <c r="E76" s="1" t="s">
        <v>1056</v>
      </c>
      <c r="F76" s="2">
        <v>45749</v>
      </c>
    </row>
    <row r="77" spans="1:6" x14ac:dyDescent="0.35">
      <c r="A77" s="1" t="s">
        <v>176</v>
      </c>
      <c r="B77" s="1" t="s">
        <v>23</v>
      </c>
      <c r="C77">
        <v>192</v>
      </c>
      <c r="D77" s="1" t="s">
        <v>1053</v>
      </c>
      <c r="E77" s="1" t="s">
        <v>1054</v>
      </c>
      <c r="F77" s="2">
        <v>45729</v>
      </c>
    </row>
    <row r="78" spans="1:6" x14ac:dyDescent="0.35">
      <c r="A78" s="1" t="s">
        <v>500</v>
      </c>
      <c r="B78" s="1" t="s">
        <v>18</v>
      </c>
      <c r="C78">
        <v>170</v>
      </c>
      <c r="D78" s="1" t="s">
        <v>1053</v>
      </c>
      <c r="E78" s="1" t="s">
        <v>1056</v>
      </c>
      <c r="F78" s="2">
        <v>45747</v>
      </c>
    </row>
    <row r="79" spans="1:6" x14ac:dyDescent="0.35">
      <c r="A79" s="1" t="s">
        <v>367</v>
      </c>
      <c r="B79" s="1" t="s">
        <v>14</v>
      </c>
      <c r="C79">
        <v>472</v>
      </c>
      <c r="D79" s="1" t="s">
        <v>1057</v>
      </c>
      <c r="E79" s="1" t="s">
        <v>1054</v>
      </c>
      <c r="F79" s="2">
        <v>45673</v>
      </c>
    </row>
    <row r="80" spans="1:6" x14ac:dyDescent="0.35">
      <c r="A80" s="1" t="s">
        <v>460</v>
      </c>
      <c r="B80" s="1" t="s">
        <v>33</v>
      </c>
      <c r="C80">
        <v>369</v>
      </c>
      <c r="D80" s="1" t="s">
        <v>1057</v>
      </c>
      <c r="E80" s="1" t="s">
        <v>1054</v>
      </c>
      <c r="F80" s="2">
        <v>45660</v>
      </c>
    </row>
    <row r="81" spans="1:6" x14ac:dyDescent="0.35">
      <c r="A81" s="1" t="s">
        <v>143</v>
      </c>
      <c r="B81" s="1" t="s">
        <v>42</v>
      </c>
      <c r="C81">
        <v>409</v>
      </c>
      <c r="D81" s="1" t="s">
        <v>1055</v>
      </c>
      <c r="E81" s="1" t="s">
        <v>1056</v>
      </c>
      <c r="F81" s="2">
        <v>45692</v>
      </c>
    </row>
    <row r="82" spans="1:6" x14ac:dyDescent="0.35">
      <c r="A82" s="1" t="s">
        <v>241</v>
      </c>
      <c r="B82" s="1" t="s">
        <v>42</v>
      </c>
      <c r="C82">
        <v>459</v>
      </c>
      <c r="D82" s="1" t="s">
        <v>1055</v>
      </c>
      <c r="E82" s="1" t="s">
        <v>1056</v>
      </c>
      <c r="F82" s="2">
        <v>45697</v>
      </c>
    </row>
    <row r="83" spans="1:6" x14ac:dyDescent="0.35">
      <c r="A83" s="1" t="s">
        <v>496</v>
      </c>
      <c r="B83" s="1" t="s">
        <v>33</v>
      </c>
      <c r="C83">
        <v>141</v>
      </c>
      <c r="D83" s="1" t="s">
        <v>1055</v>
      </c>
      <c r="E83" s="1" t="s">
        <v>1054</v>
      </c>
      <c r="F83" s="2">
        <v>45759</v>
      </c>
    </row>
    <row r="84" spans="1:6" x14ac:dyDescent="0.35">
      <c r="A84" s="1" t="s">
        <v>473</v>
      </c>
      <c r="B84" s="1" t="s">
        <v>33</v>
      </c>
      <c r="C84">
        <v>127</v>
      </c>
      <c r="D84" s="1" t="s">
        <v>1058</v>
      </c>
      <c r="E84" s="1" t="s">
        <v>1056</v>
      </c>
      <c r="F84" s="2">
        <v>45723</v>
      </c>
    </row>
    <row r="85" spans="1:6" x14ac:dyDescent="0.35">
      <c r="A85" s="1" t="s">
        <v>508</v>
      </c>
      <c r="B85" s="1" t="s">
        <v>14</v>
      </c>
      <c r="C85">
        <v>23</v>
      </c>
      <c r="D85" s="1" t="s">
        <v>1058</v>
      </c>
      <c r="E85" s="1" t="s">
        <v>1054</v>
      </c>
      <c r="F85" s="2">
        <v>45752</v>
      </c>
    </row>
    <row r="86" spans="1:6" x14ac:dyDescent="0.35">
      <c r="A86" s="1" t="s">
        <v>399</v>
      </c>
      <c r="B86" s="1" t="s">
        <v>33</v>
      </c>
      <c r="C86">
        <v>112</v>
      </c>
      <c r="D86" s="1" t="s">
        <v>1057</v>
      </c>
      <c r="E86" s="1" t="s">
        <v>1056</v>
      </c>
      <c r="F86" s="2">
        <v>45763</v>
      </c>
    </row>
    <row r="87" spans="1:6" x14ac:dyDescent="0.35">
      <c r="A87" s="1" t="s">
        <v>321</v>
      </c>
      <c r="B87" s="1" t="s">
        <v>18</v>
      </c>
      <c r="C87">
        <v>426</v>
      </c>
      <c r="D87" s="1" t="s">
        <v>1058</v>
      </c>
      <c r="E87" s="1" t="s">
        <v>1056</v>
      </c>
      <c r="F87" s="2">
        <v>45750</v>
      </c>
    </row>
    <row r="88" spans="1:6" x14ac:dyDescent="0.35">
      <c r="A88" s="1" t="s">
        <v>280</v>
      </c>
      <c r="B88" s="1" t="s">
        <v>23</v>
      </c>
      <c r="C88">
        <v>25</v>
      </c>
      <c r="D88" s="1" t="s">
        <v>1055</v>
      </c>
      <c r="E88" s="1" t="s">
        <v>1056</v>
      </c>
      <c r="F88" s="2">
        <v>45753</v>
      </c>
    </row>
    <row r="89" spans="1:6" x14ac:dyDescent="0.35">
      <c r="A89" s="1" t="s">
        <v>170</v>
      </c>
      <c r="B89" s="1" t="s">
        <v>33</v>
      </c>
      <c r="C89">
        <v>307</v>
      </c>
      <c r="D89" s="1" t="s">
        <v>1055</v>
      </c>
      <c r="E89" s="1" t="s">
        <v>1054</v>
      </c>
      <c r="F89" s="2">
        <v>45709</v>
      </c>
    </row>
    <row r="90" spans="1:6" x14ac:dyDescent="0.35">
      <c r="A90" s="1" t="s">
        <v>277</v>
      </c>
      <c r="B90" s="1" t="s">
        <v>33</v>
      </c>
      <c r="C90">
        <v>125</v>
      </c>
      <c r="D90" s="1" t="s">
        <v>1058</v>
      </c>
      <c r="E90" s="1" t="s">
        <v>1056</v>
      </c>
      <c r="F90" s="2">
        <v>45697</v>
      </c>
    </row>
    <row r="91" spans="1:6" x14ac:dyDescent="0.35">
      <c r="A91" s="1" t="s">
        <v>393</v>
      </c>
      <c r="B91" s="1" t="s">
        <v>18</v>
      </c>
      <c r="C91">
        <v>165</v>
      </c>
      <c r="D91" s="1" t="s">
        <v>1053</v>
      </c>
      <c r="E91" s="1" t="s">
        <v>1054</v>
      </c>
      <c r="F91" s="2">
        <v>45705</v>
      </c>
    </row>
    <row r="92" spans="1:6" x14ac:dyDescent="0.35">
      <c r="A92" s="1" t="s">
        <v>463</v>
      </c>
      <c r="B92" s="1" t="s">
        <v>42</v>
      </c>
      <c r="C92">
        <v>290</v>
      </c>
      <c r="D92" s="1" t="s">
        <v>1057</v>
      </c>
      <c r="E92" s="1" t="s">
        <v>1056</v>
      </c>
      <c r="F92" s="2">
        <v>45703</v>
      </c>
    </row>
    <row r="93" spans="1:6" x14ac:dyDescent="0.35">
      <c r="A93" s="1" t="s">
        <v>490</v>
      </c>
      <c r="B93" s="1" t="s">
        <v>42</v>
      </c>
      <c r="C93">
        <v>443</v>
      </c>
      <c r="D93" s="1" t="s">
        <v>1053</v>
      </c>
      <c r="E93" s="1" t="s">
        <v>1054</v>
      </c>
      <c r="F93" s="2">
        <v>45680</v>
      </c>
    </row>
    <row r="94" spans="1:6" x14ac:dyDescent="0.35">
      <c r="A94" s="1" t="s">
        <v>329</v>
      </c>
      <c r="B94" s="1" t="s">
        <v>14</v>
      </c>
      <c r="C94">
        <v>397</v>
      </c>
      <c r="D94" s="1" t="s">
        <v>1057</v>
      </c>
      <c r="E94" s="1" t="s">
        <v>1056</v>
      </c>
      <c r="F94" s="2">
        <v>45698</v>
      </c>
    </row>
    <row r="95" spans="1:6" x14ac:dyDescent="0.35">
      <c r="A95" s="1" t="s">
        <v>52</v>
      </c>
      <c r="B95" s="1" t="s">
        <v>18</v>
      </c>
      <c r="C95">
        <v>115</v>
      </c>
      <c r="D95" s="1" t="s">
        <v>1053</v>
      </c>
      <c r="E95" s="1" t="s">
        <v>1054</v>
      </c>
      <c r="F95" s="2">
        <v>45693</v>
      </c>
    </row>
    <row r="96" spans="1:6" x14ac:dyDescent="0.35">
      <c r="A96" s="1" t="s">
        <v>304</v>
      </c>
      <c r="B96" s="1" t="s">
        <v>23</v>
      </c>
      <c r="C96">
        <v>476</v>
      </c>
      <c r="D96" s="1" t="s">
        <v>1058</v>
      </c>
      <c r="E96" s="1" t="s">
        <v>1054</v>
      </c>
      <c r="F96" s="2">
        <v>45738</v>
      </c>
    </row>
    <row r="97" spans="1:6" x14ac:dyDescent="0.35">
      <c r="A97" s="1" t="s">
        <v>499</v>
      </c>
      <c r="B97" s="1" t="s">
        <v>23</v>
      </c>
      <c r="C97">
        <v>248</v>
      </c>
      <c r="D97" s="1" t="s">
        <v>1057</v>
      </c>
      <c r="E97" s="1" t="s">
        <v>1054</v>
      </c>
      <c r="F97" s="2">
        <v>45725</v>
      </c>
    </row>
    <row r="98" spans="1:6" x14ac:dyDescent="0.35">
      <c r="A98" s="1" t="s">
        <v>404</v>
      </c>
      <c r="B98" s="1" t="s">
        <v>18</v>
      </c>
      <c r="C98">
        <v>221</v>
      </c>
      <c r="D98" s="1" t="s">
        <v>1057</v>
      </c>
      <c r="E98" s="1" t="s">
        <v>1054</v>
      </c>
      <c r="F98" s="2">
        <v>45740</v>
      </c>
    </row>
    <row r="99" spans="1:6" x14ac:dyDescent="0.35">
      <c r="A99" s="1" t="s">
        <v>405</v>
      </c>
      <c r="B99" s="1" t="s">
        <v>23</v>
      </c>
      <c r="C99">
        <v>231</v>
      </c>
      <c r="D99" s="1" t="s">
        <v>1057</v>
      </c>
      <c r="E99" s="1" t="s">
        <v>1054</v>
      </c>
      <c r="F99" s="2">
        <v>45776</v>
      </c>
    </row>
    <row r="100" spans="1:6" x14ac:dyDescent="0.35">
      <c r="A100" s="1" t="s">
        <v>416</v>
      </c>
      <c r="B100" s="1" t="s">
        <v>42</v>
      </c>
      <c r="C100">
        <v>25</v>
      </c>
      <c r="D100" s="1" t="s">
        <v>1055</v>
      </c>
      <c r="E100" s="1" t="s">
        <v>1054</v>
      </c>
      <c r="F100" s="2">
        <v>45737</v>
      </c>
    </row>
    <row r="101" spans="1:6" x14ac:dyDescent="0.35">
      <c r="A101" s="1" t="s">
        <v>97</v>
      </c>
      <c r="B101" s="1" t="s">
        <v>23</v>
      </c>
      <c r="C101">
        <v>131</v>
      </c>
      <c r="D101" s="1" t="s">
        <v>1055</v>
      </c>
      <c r="E101" s="1" t="s">
        <v>1056</v>
      </c>
      <c r="F101" s="2">
        <v>45776</v>
      </c>
    </row>
    <row r="103" spans="1:6" ht="15" thickBot="1" x14ac:dyDescent="0.4"/>
    <row r="104" spans="1:6" ht="15" thickBot="1" x14ac:dyDescent="0.4">
      <c r="A104" s="19" t="s">
        <v>1070</v>
      </c>
      <c r="B104" s="20"/>
      <c r="C104" s="21"/>
    </row>
    <row r="105" spans="1:6" x14ac:dyDescent="0.35">
      <c r="A105" s="11" t="s">
        <v>1062</v>
      </c>
      <c r="B105" s="12" t="s">
        <v>1068</v>
      </c>
      <c r="C105" s="12" t="s">
        <v>1069</v>
      </c>
    </row>
    <row r="106" spans="1:6" x14ac:dyDescent="0.35">
      <c r="A106" s="8" t="s">
        <v>42</v>
      </c>
      <c r="B106" s="10">
        <v>22</v>
      </c>
      <c r="C106" s="17">
        <v>6568</v>
      </c>
    </row>
    <row r="107" spans="1:6" x14ac:dyDescent="0.35">
      <c r="A107" s="18" t="s">
        <v>1055</v>
      </c>
      <c r="B107" s="10">
        <v>8</v>
      </c>
      <c r="C107" s="17">
        <v>2375</v>
      </c>
    </row>
    <row r="108" spans="1:6" x14ac:dyDescent="0.35">
      <c r="A108" s="18" t="s">
        <v>1057</v>
      </c>
      <c r="B108" s="10">
        <v>5</v>
      </c>
      <c r="C108" s="17">
        <v>1643</v>
      </c>
    </row>
    <row r="109" spans="1:6" x14ac:dyDescent="0.35">
      <c r="A109" s="18" t="s">
        <v>1053</v>
      </c>
      <c r="B109" s="10">
        <v>4</v>
      </c>
      <c r="C109" s="17">
        <v>1165</v>
      </c>
    </row>
    <row r="110" spans="1:6" x14ac:dyDescent="0.35">
      <c r="A110" s="18" t="s">
        <v>1058</v>
      </c>
      <c r="B110" s="10">
        <v>5</v>
      </c>
      <c r="C110" s="17">
        <v>1385</v>
      </c>
    </row>
    <row r="111" spans="1:6" x14ac:dyDescent="0.35">
      <c r="A111" s="8" t="s">
        <v>33</v>
      </c>
      <c r="B111" s="10">
        <v>18</v>
      </c>
      <c r="C111" s="17">
        <v>4626</v>
      </c>
    </row>
    <row r="112" spans="1:6" x14ac:dyDescent="0.35">
      <c r="A112" s="18" t="s">
        <v>1055</v>
      </c>
      <c r="B112" s="10">
        <v>4</v>
      </c>
      <c r="C112" s="17">
        <v>925</v>
      </c>
    </row>
    <row r="113" spans="1:3" x14ac:dyDescent="0.35">
      <c r="A113" s="18" t="s">
        <v>1057</v>
      </c>
      <c r="B113" s="10">
        <v>6</v>
      </c>
      <c r="C113" s="17">
        <v>2026</v>
      </c>
    </row>
    <row r="114" spans="1:3" x14ac:dyDescent="0.35">
      <c r="A114" s="18" t="s">
        <v>1053</v>
      </c>
      <c r="B114" s="10">
        <v>3</v>
      </c>
      <c r="C114" s="17">
        <v>797</v>
      </c>
    </row>
    <row r="115" spans="1:3" x14ac:dyDescent="0.35">
      <c r="A115" s="18" t="s">
        <v>1058</v>
      </c>
      <c r="B115" s="10">
        <v>5</v>
      </c>
      <c r="C115" s="17">
        <v>878</v>
      </c>
    </row>
    <row r="116" spans="1:3" x14ac:dyDescent="0.35">
      <c r="A116" s="8" t="s">
        <v>23</v>
      </c>
      <c r="B116" s="10">
        <v>19</v>
      </c>
      <c r="C116" s="17">
        <v>5264</v>
      </c>
    </row>
    <row r="117" spans="1:3" x14ac:dyDescent="0.35">
      <c r="A117" s="18" t="s">
        <v>1055</v>
      </c>
      <c r="B117" s="10">
        <v>5</v>
      </c>
      <c r="C117" s="17">
        <v>1267</v>
      </c>
    </row>
    <row r="118" spans="1:3" x14ac:dyDescent="0.35">
      <c r="A118" s="18" t="s">
        <v>1057</v>
      </c>
      <c r="B118" s="10">
        <v>5</v>
      </c>
      <c r="C118" s="17">
        <v>1671</v>
      </c>
    </row>
    <row r="119" spans="1:3" x14ac:dyDescent="0.35">
      <c r="A119" s="18" t="s">
        <v>1053</v>
      </c>
      <c r="B119" s="10">
        <v>4</v>
      </c>
      <c r="C119" s="17">
        <v>1142</v>
      </c>
    </row>
    <row r="120" spans="1:3" x14ac:dyDescent="0.35">
      <c r="A120" s="18" t="s">
        <v>1058</v>
      </c>
      <c r="B120" s="10">
        <v>5</v>
      </c>
      <c r="C120" s="17">
        <v>1184</v>
      </c>
    </row>
    <row r="121" spans="1:3" x14ac:dyDescent="0.35">
      <c r="A121" s="8" t="s">
        <v>18</v>
      </c>
      <c r="B121" s="10">
        <v>16</v>
      </c>
      <c r="C121" s="17">
        <v>3734</v>
      </c>
    </row>
    <row r="122" spans="1:3" x14ac:dyDescent="0.35">
      <c r="A122" s="18" t="s">
        <v>1055</v>
      </c>
      <c r="B122" s="10">
        <v>5</v>
      </c>
      <c r="C122" s="17">
        <v>999</v>
      </c>
    </row>
    <row r="123" spans="1:3" x14ac:dyDescent="0.35">
      <c r="A123" s="18" t="s">
        <v>1057</v>
      </c>
      <c r="B123" s="10">
        <v>2</v>
      </c>
      <c r="C123" s="17">
        <v>536</v>
      </c>
    </row>
    <row r="124" spans="1:3" x14ac:dyDescent="0.35">
      <c r="A124" s="18" t="s">
        <v>1053</v>
      </c>
      <c r="B124" s="10">
        <v>5</v>
      </c>
      <c r="C124" s="17">
        <v>1108</v>
      </c>
    </row>
    <row r="125" spans="1:3" x14ac:dyDescent="0.35">
      <c r="A125" s="18" t="s">
        <v>1058</v>
      </c>
      <c r="B125" s="10">
        <v>4</v>
      </c>
      <c r="C125" s="17">
        <v>1091</v>
      </c>
    </row>
    <row r="126" spans="1:3" x14ac:dyDescent="0.35">
      <c r="A126" s="8" t="s">
        <v>14</v>
      </c>
      <c r="B126" s="10">
        <v>25</v>
      </c>
      <c r="C126" s="17">
        <v>7615</v>
      </c>
    </row>
    <row r="127" spans="1:3" x14ac:dyDescent="0.35">
      <c r="A127" s="18" t="s">
        <v>1055</v>
      </c>
      <c r="B127" s="10">
        <v>8</v>
      </c>
      <c r="C127" s="17">
        <v>2662</v>
      </c>
    </row>
    <row r="128" spans="1:3" x14ac:dyDescent="0.35">
      <c r="A128" s="18" t="s">
        <v>1057</v>
      </c>
      <c r="B128" s="10">
        <v>8</v>
      </c>
      <c r="C128" s="17">
        <v>2781</v>
      </c>
    </row>
    <row r="129" spans="1:3" x14ac:dyDescent="0.35">
      <c r="A129" s="18" t="s">
        <v>1053</v>
      </c>
      <c r="B129" s="10">
        <v>4</v>
      </c>
      <c r="C129" s="17">
        <v>891</v>
      </c>
    </row>
    <row r="130" spans="1:3" x14ac:dyDescent="0.35">
      <c r="A130" s="18" t="s">
        <v>1058</v>
      </c>
      <c r="B130" s="10">
        <v>5</v>
      </c>
      <c r="C130" s="17">
        <v>1281</v>
      </c>
    </row>
    <row r="131" spans="1:3" x14ac:dyDescent="0.35">
      <c r="A131" s="8" t="s">
        <v>1063</v>
      </c>
      <c r="B131" s="10">
        <v>100</v>
      </c>
      <c r="C131" s="17">
        <v>27807</v>
      </c>
    </row>
  </sheetData>
  <mergeCells count="1">
    <mergeCell ref="A104:C104"/>
  </mergeCell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5BCA-69D8-47E1-9CB5-64DE2EDBA004}">
  <dimension ref="A1:E510"/>
  <sheetViews>
    <sheetView topLeftCell="A514" workbookViewId="0">
      <selection activeCell="A503" sqref="A503:E529"/>
    </sheetView>
  </sheetViews>
  <sheetFormatPr defaultRowHeight="14.5" x14ac:dyDescent="0.35"/>
  <cols>
    <col min="1" max="1" width="12.36328125" bestFit="1" customWidth="1"/>
    <col min="2" max="2" width="21.54296875" bestFit="1" customWidth="1"/>
    <col min="3" max="3" width="17.36328125" bestFit="1" customWidth="1"/>
    <col min="4" max="4" width="13.26953125" bestFit="1" customWidth="1"/>
    <col min="5" max="5" width="17.453125" bestFit="1" customWidth="1"/>
  </cols>
  <sheetData>
    <row r="1" spans="1:5" x14ac:dyDescent="0.35">
      <c r="A1" t="s">
        <v>540</v>
      </c>
      <c r="B1" t="s">
        <v>0</v>
      </c>
      <c r="C1" t="s">
        <v>541</v>
      </c>
      <c r="D1" t="s">
        <v>542</v>
      </c>
      <c r="E1" t="s">
        <v>543</v>
      </c>
    </row>
    <row r="2" spans="1:5" x14ac:dyDescent="0.35">
      <c r="A2" s="1" t="s">
        <v>544</v>
      </c>
      <c r="B2" s="1" t="s">
        <v>9</v>
      </c>
      <c r="C2">
        <v>1415</v>
      </c>
      <c r="D2" s="2">
        <v>45778</v>
      </c>
      <c r="E2" s="1" t="s">
        <v>545</v>
      </c>
    </row>
    <row r="3" spans="1:5" x14ac:dyDescent="0.35">
      <c r="A3" s="1" t="s">
        <v>546</v>
      </c>
      <c r="B3" s="1" t="s">
        <v>15</v>
      </c>
      <c r="C3">
        <v>1453</v>
      </c>
      <c r="D3" s="2">
        <v>45680</v>
      </c>
      <c r="E3" s="1" t="s">
        <v>547</v>
      </c>
    </row>
    <row r="4" spans="1:5" x14ac:dyDescent="0.35">
      <c r="A4" s="1" t="s">
        <v>548</v>
      </c>
      <c r="B4" s="1" t="s">
        <v>19</v>
      </c>
      <c r="C4">
        <v>1994</v>
      </c>
      <c r="D4" s="2">
        <v>45725</v>
      </c>
      <c r="E4" s="1" t="s">
        <v>545</v>
      </c>
    </row>
    <row r="5" spans="1:5" x14ac:dyDescent="0.35">
      <c r="A5" s="1" t="s">
        <v>549</v>
      </c>
      <c r="B5" s="1" t="s">
        <v>22</v>
      </c>
      <c r="C5">
        <v>1918</v>
      </c>
      <c r="D5" s="2">
        <v>45744</v>
      </c>
      <c r="E5" s="1" t="s">
        <v>545</v>
      </c>
    </row>
    <row r="6" spans="1:5" x14ac:dyDescent="0.35">
      <c r="A6" s="1" t="s">
        <v>550</v>
      </c>
      <c r="B6" s="1" t="s">
        <v>24</v>
      </c>
      <c r="C6">
        <v>1612</v>
      </c>
      <c r="D6" s="2">
        <v>45730</v>
      </c>
      <c r="E6" s="1" t="s">
        <v>545</v>
      </c>
    </row>
    <row r="7" spans="1:5" x14ac:dyDescent="0.35">
      <c r="A7" s="1" t="s">
        <v>551</v>
      </c>
      <c r="B7" s="1" t="s">
        <v>26</v>
      </c>
      <c r="C7">
        <v>1631</v>
      </c>
      <c r="D7" s="2">
        <v>45698</v>
      </c>
      <c r="E7" s="1" t="s">
        <v>547</v>
      </c>
    </row>
    <row r="8" spans="1:5" x14ac:dyDescent="0.35">
      <c r="A8" s="1" t="s">
        <v>552</v>
      </c>
      <c r="B8" s="1" t="s">
        <v>28</v>
      </c>
      <c r="C8">
        <v>740</v>
      </c>
      <c r="D8" s="2">
        <v>45737</v>
      </c>
      <c r="E8" s="1" t="s">
        <v>547</v>
      </c>
    </row>
    <row r="9" spans="1:5" x14ac:dyDescent="0.35">
      <c r="A9" s="1" t="s">
        <v>553</v>
      </c>
      <c r="B9" s="1" t="s">
        <v>29</v>
      </c>
      <c r="C9">
        <v>1127</v>
      </c>
      <c r="D9" s="2">
        <v>45772</v>
      </c>
      <c r="E9" s="1" t="s">
        <v>554</v>
      </c>
    </row>
    <row r="10" spans="1:5" x14ac:dyDescent="0.35">
      <c r="A10" s="1" t="s">
        <v>555</v>
      </c>
      <c r="B10" s="1" t="s">
        <v>30</v>
      </c>
      <c r="C10">
        <v>413</v>
      </c>
      <c r="D10" s="2">
        <v>45749</v>
      </c>
      <c r="E10" s="1" t="s">
        <v>556</v>
      </c>
    </row>
    <row r="11" spans="1:5" x14ac:dyDescent="0.35">
      <c r="A11" s="1" t="s">
        <v>557</v>
      </c>
      <c r="B11" s="1" t="s">
        <v>31</v>
      </c>
      <c r="C11">
        <v>1368</v>
      </c>
      <c r="D11" s="2">
        <v>45773</v>
      </c>
      <c r="E11" s="1" t="s">
        <v>556</v>
      </c>
    </row>
    <row r="12" spans="1:5" x14ac:dyDescent="0.35">
      <c r="A12" s="1" t="s">
        <v>558</v>
      </c>
      <c r="B12" s="1" t="s">
        <v>34</v>
      </c>
      <c r="C12">
        <v>1034</v>
      </c>
      <c r="D12" s="2">
        <v>45716</v>
      </c>
      <c r="E12" s="1" t="s">
        <v>554</v>
      </c>
    </row>
    <row r="13" spans="1:5" x14ac:dyDescent="0.35">
      <c r="A13" s="1" t="s">
        <v>559</v>
      </c>
      <c r="B13" s="1" t="s">
        <v>35</v>
      </c>
      <c r="C13">
        <v>828</v>
      </c>
      <c r="D13" s="2">
        <v>45694</v>
      </c>
      <c r="E13" s="1" t="s">
        <v>554</v>
      </c>
    </row>
    <row r="14" spans="1:5" x14ac:dyDescent="0.35">
      <c r="A14" s="1" t="s">
        <v>560</v>
      </c>
      <c r="B14" s="1" t="s">
        <v>36</v>
      </c>
      <c r="C14">
        <v>696</v>
      </c>
      <c r="D14" s="2">
        <v>45773</v>
      </c>
      <c r="E14" s="1" t="s">
        <v>545</v>
      </c>
    </row>
    <row r="15" spans="1:5" x14ac:dyDescent="0.35">
      <c r="A15" s="1" t="s">
        <v>561</v>
      </c>
      <c r="B15" s="1" t="s">
        <v>38</v>
      </c>
      <c r="C15">
        <v>2309</v>
      </c>
      <c r="D15" s="2">
        <v>45773</v>
      </c>
      <c r="E15" s="1" t="s">
        <v>554</v>
      </c>
    </row>
    <row r="16" spans="1:5" x14ac:dyDescent="0.35">
      <c r="A16" s="1" t="s">
        <v>562</v>
      </c>
      <c r="B16" s="1" t="s">
        <v>39</v>
      </c>
      <c r="C16">
        <v>1882</v>
      </c>
      <c r="D16" s="2">
        <v>45763</v>
      </c>
      <c r="E16" s="1" t="s">
        <v>563</v>
      </c>
    </row>
    <row r="17" spans="1:5" x14ac:dyDescent="0.35">
      <c r="A17" s="1" t="s">
        <v>564</v>
      </c>
      <c r="B17" s="1" t="s">
        <v>40</v>
      </c>
      <c r="C17">
        <v>2358</v>
      </c>
      <c r="D17" s="2">
        <v>45735</v>
      </c>
      <c r="E17" s="1" t="s">
        <v>556</v>
      </c>
    </row>
    <row r="18" spans="1:5" x14ac:dyDescent="0.35">
      <c r="A18" s="1" t="s">
        <v>565</v>
      </c>
      <c r="B18" s="1" t="s">
        <v>41</v>
      </c>
      <c r="C18">
        <v>287</v>
      </c>
      <c r="D18" s="2">
        <v>45750</v>
      </c>
      <c r="E18" s="1" t="s">
        <v>554</v>
      </c>
    </row>
    <row r="19" spans="1:5" x14ac:dyDescent="0.35">
      <c r="A19" s="1" t="s">
        <v>566</v>
      </c>
      <c r="B19" s="1" t="s">
        <v>43</v>
      </c>
      <c r="C19">
        <v>1341</v>
      </c>
      <c r="D19" s="2">
        <v>45675</v>
      </c>
      <c r="E19" s="1" t="s">
        <v>563</v>
      </c>
    </row>
    <row r="20" spans="1:5" x14ac:dyDescent="0.35">
      <c r="A20" s="1" t="s">
        <v>567</v>
      </c>
      <c r="B20" s="1" t="s">
        <v>44</v>
      </c>
      <c r="C20">
        <v>1071</v>
      </c>
      <c r="D20" s="2">
        <v>45749</v>
      </c>
      <c r="E20" s="1" t="s">
        <v>563</v>
      </c>
    </row>
    <row r="21" spans="1:5" x14ac:dyDescent="0.35">
      <c r="A21" s="1" t="s">
        <v>568</v>
      </c>
      <c r="B21" s="1" t="s">
        <v>45</v>
      </c>
      <c r="C21">
        <v>1110</v>
      </c>
      <c r="D21" s="2">
        <v>45773</v>
      </c>
      <c r="E21" s="1" t="s">
        <v>563</v>
      </c>
    </row>
    <row r="22" spans="1:5" x14ac:dyDescent="0.35">
      <c r="A22" s="1" t="s">
        <v>569</v>
      </c>
      <c r="B22" s="1" t="s">
        <v>46</v>
      </c>
      <c r="C22">
        <v>2018</v>
      </c>
      <c r="D22" s="2">
        <v>45661</v>
      </c>
      <c r="E22" s="1" t="s">
        <v>563</v>
      </c>
    </row>
    <row r="23" spans="1:5" x14ac:dyDescent="0.35">
      <c r="A23" s="1" t="s">
        <v>570</v>
      </c>
      <c r="B23" s="1" t="s">
        <v>47</v>
      </c>
      <c r="C23">
        <v>1501</v>
      </c>
      <c r="D23" s="2">
        <v>45757</v>
      </c>
      <c r="E23" s="1" t="s">
        <v>545</v>
      </c>
    </row>
    <row r="24" spans="1:5" x14ac:dyDescent="0.35">
      <c r="A24" s="1" t="s">
        <v>571</v>
      </c>
      <c r="B24" s="1" t="s">
        <v>49</v>
      </c>
      <c r="C24">
        <v>1523</v>
      </c>
      <c r="D24" s="2">
        <v>45709</v>
      </c>
      <c r="E24" s="1" t="s">
        <v>563</v>
      </c>
    </row>
    <row r="25" spans="1:5" x14ac:dyDescent="0.35">
      <c r="A25" s="1" t="s">
        <v>572</v>
      </c>
      <c r="B25" s="1" t="s">
        <v>50</v>
      </c>
      <c r="C25">
        <v>2260</v>
      </c>
      <c r="D25" s="2">
        <v>45760</v>
      </c>
      <c r="E25" s="1" t="s">
        <v>545</v>
      </c>
    </row>
    <row r="26" spans="1:5" x14ac:dyDescent="0.35">
      <c r="A26" s="1" t="s">
        <v>573</v>
      </c>
      <c r="B26" s="1" t="s">
        <v>52</v>
      </c>
      <c r="C26">
        <v>2085</v>
      </c>
      <c r="D26" s="2">
        <v>45674</v>
      </c>
      <c r="E26" s="1" t="s">
        <v>545</v>
      </c>
    </row>
    <row r="27" spans="1:5" x14ac:dyDescent="0.35">
      <c r="A27" s="1" t="s">
        <v>574</v>
      </c>
      <c r="B27" s="1" t="s">
        <v>53</v>
      </c>
      <c r="C27">
        <v>1728</v>
      </c>
      <c r="D27" s="2">
        <v>45737</v>
      </c>
      <c r="E27" s="1" t="s">
        <v>563</v>
      </c>
    </row>
    <row r="28" spans="1:5" x14ac:dyDescent="0.35">
      <c r="A28" s="1" t="s">
        <v>575</v>
      </c>
      <c r="B28" s="1" t="s">
        <v>54</v>
      </c>
      <c r="C28">
        <v>831</v>
      </c>
      <c r="D28" s="2">
        <v>45698</v>
      </c>
      <c r="E28" s="1" t="s">
        <v>556</v>
      </c>
    </row>
    <row r="29" spans="1:5" x14ac:dyDescent="0.35">
      <c r="A29" s="1" t="s">
        <v>576</v>
      </c>
      <c r="B29" s="1" t="s">
        <v>55</v>
      </c>
      <c r="C29">
        <v>1021</v>
      </c>
      <c r="D29" s="2">
        <v>45736</v>
      </c>
      <c r="E29" s="1" t="s">
        <v>563</v>
      </c>
    </row>
    <row r="30" spans="1:5" x14ac:dyDescent="0.35">
      <c r="A30" s="1" t="s">
        <v>577</v>
      </c>
      <c r="B30" s="1" t="s">
        <v>56</v>
      </c>
      <c r="C30">
        <v>1331</v>
      </c>
      <c r="D30" s="2">
        <v>45687</v>
      </c>
      <c r="E30" s="1" t="s">
        <v>563</v>
      </c>
    </row>
    <row r="31" spans="1:5" x14ac:dyDescent="0.35">
      <c r="A31" s="1" t="s">
        <v>578</v>
      </c>
      <c r="B31" s="1" t="s">
        <v>57</v>
      </c>
      <c r="C31">
        <v>348</v>
      </c>
      <c r="D31" s="2">
        <v>45760</v>
      </c>
      <c r="E31" s="1" t="s">
        <v>563</v>
      </c>
    </row>
    <row r="32" spans="1:5" x14ac:dyDescent="0.35">
      <c r="A32" s="1" t="s">
        <v>579</v>
      </c>
      <c r="B32" s="1" t="s">
        <v>58</v>
      </c>
      <c r="C32">
        <v>1463</v>
      </c>
      <c r="D32" s="2">
        <v>45746</v>
      </c>
      <c r="E32" s="1" t="s">
        <v>556</v>
      </c>
    </row>
    <row r="33" spans="1:5" x14ac:dyDescent="0.35">
      <c r="A33" s="1" t="s">
        <v>580</v>
      </c>
      <c r="B33" s="1" t="s">
        <v>59</v>
      </c>
      <c r="C33">
        <v>683</v>
      </c>
      <c r="D33" s="2">
        <v>45678</v>
      </c>
      <c r="E33" s="1" t="s">
        <v>547</v>
      </c>
    </row>
    <row r="34" spans="1:5" x14ac:dyDescent="0.35">
      <c r="A34" s="1" t="s">
        <v>581</v>
      </c>
      <c r="B34" s="1" t="s">
        <v>60</v>
      </c>
      <c r="C34">
        <v>516</v>
      </c>
      <c r="D34" s="2">
        <v>45706</v>
      </c>
      <c r="E34" s="1" t="s">
        <v>547</v>
      </c>
    </row>
    <row r="35" spans="1:5" x14ac:dyDescent="0.35">
      <c r="A35" s="1" t="s">
        <v>582</v>
      </c>
      <c r="B35" s="1" t="s">
        <v>61</v>
      </c>
      <c r="C35">
        <v>690</v>
      </c>
      <c r="D35" s="2">
        <v>45762</v>
      </c>
      <c r="E35" s="1" t="s">
        <v>545</v>
      </c>
    </row>
    <row r="36" spans="1:5" x14ac:dyDescent="0.35">
      <c r="A36" s="1" t="s">
        <v>583</v>
      </c>
      <c r="B36" s="1" t="s">
        <v>62</v>
      </c>
      <c r="C36">
        <v>2231</v>
      </c>
      <c r="D36" s="2">
        <v>45676</v>
      </c>
      <c r="E36" s="1" t="s">
        <v>545</v>
      </c>
    </row>
    <row r="37" spans="1:5" x14ac:dyDescent="0.35">
      <c r="A37" s="1" t="s">
        <v>584</v>
      </c>
      <c r="B37" s="1" t="s">
        <v>63</v>
      </c>
      <c r="C37">
        <v>1114</v>
      </c>
      <c r="D37" s="2">
        <v>45738</v>
      </c>
      <c r="E37" s="1" t="s">
        <v>556</v>
      </c>
    </row>
    <row r="38" spans="1:5" x14ac:dyDescent="0.35">
      <c r="A38" s="1" t="s">
        <v>585</v>
      </c>
      <c r="B38" s="1" t="s">
        <v>64</v>
      </c>
      <c r="C38">
        <v>1620</v>
      </c>
      <c r="D38" s="2">
        <v>45768</v>
      </c>
      <c r="E38" s="1" t="s">
        <v>554</v>
      </c>
    </row>
    <row r="39" spans="1:5" x14ac:dyDescent="0.35">
      <c r="A39" s="1" t="s">
        <v>586</v>
      </c>
      <c r="B39" s="1" t="s">
        <v>65</v>
      </c>
      <c r="C39">
        <v>1339</v>
      </c>
      <c r="D39" s="2">
        <v>45686</v>
      </c>
      <c r="E39" s="1" t="s">
        <v>547</v>
      </c>
    </row>
    <row r="40" spans="1:5" x14ac:dyDescent="0.35">
      <c r="A40" s="1" t="s">
        <v>587</v>
      </c>
      <c r="B40" s="1" t="s">
        <v>66</v>
      </c>
      <c r="C40">
        <v>1492</v>
      </c>
      <c r="D40" s="2">
        <v>45670</v>
      </c>
      <c r="E40" s="1" t="s">
        <v>545</v>
      </c>
    </row>
    <row r="41" spans="1:5" x14ac:dyDescent="0.35">
      <c r="A41" s="1" t="s">
        <v>588</v>
      </c>
      <c r="B41" s="1" t="s">
        <v>67</v>
      </c>
      <c r="C41">
        <v>513</v>
      </c>
      <c r="D41" s="2">
        <v>45675</v>
      </c>
      <c r="E41" s="1" t="s">
        <v>547</v>
      </c>
    </row>
    <row r="42" spans="1:5" x14ac:dyDescent="0.35">
      <c r="A42" s="1" t="s">
        <v>589</v>
      </c>
      <c r="B42" s="1" t="s">
        <v>68</v>
      </c>
      <c r="C42">
        <v>1107</v>
      </c>
      <c r="D42" s="2">
        <v>45714</v>
      </c>
      <c r="E42" s="1" t="s">
        <v>556</v>
      </c>
    </row>
    <row r="43" spans="1:5" x14ac:dyDescent="0.35">
      <c r="A43" s="1" t="s">
        <v>590</v>
      </c>
      <c r="B43" s="1" t="s">
        <v>69</v>
      </c>
      <c r="C43">
        <v>1632</v>
      </c>
      <c r="D43" s="2">
        <v>45696</v>
      </c>
      <c r="E43" s="1" t="s">
        <v>556</v>
      </c>
    </row>
    <row r="44" spans="1:5" x14ac:dyDescent="0.35">
      <c r="A44" s="1" t="s">
        <v>591</v>
      </c>
      <c r="B44" s="1" t="s">
        <v>70</v>
      </c>
      <c r="C44">
        <v>2135</v>
      </c>
      <c r="D44" s="2">
        <v>45760</v>
      </c>
      <c r="E44" s="1" t="s">
        <v>554</v>
      </c>
    </row>
    <row r="45" spans="1:5" x14ac:dyDescent="0.35">
      <c r="A45" s="1" t="s">
        <v>592</v>
      </c>
      <c r="B45" s="1" t="s">
        <v>71</v>
      </c>
      <c r="C45">
        <v>1596</v>
      </c>
      <c r="D45" s="2">
        <v>45763</v>
      </c>
      <c r="E45" s="1" t="s">
        <v>554</v>
      </c>
    </row>
    <row r="46" spans="1:5" x14ac:dyDescent="0.35">
      <c r="A46" s="1" t="s">
        <v>593</v>
      </c>
      <c r="B46" s="1" t="s">
        <v>72</v>
      </c>
      <c r="C46">
        <v>1964</v>
      </c>
      <c r="D46" s="2">
        <v>45679</v>
      </c>
      <c r="E46" s="1" t="s">
        <v>556</v>
      </c>
    </row>
    <row r="47" spans="1:5" x14ac:dyDescent="0.35">
      <c r="A47" s="1" t="s">
        <v>594</v>
      </c>
      <c r="B47" s="1" t="s">
        <v>73</v>
      </c>
      <c r="C47">
        <v>1342</v>
      </c>
      <c r="D47" s="2">
        <v>45756</v>
      </c>
      <c r="E47" s="1" t="s">
        <v>545</v>
      </c>
    </row>
    <row r="48" spans="1:5" x14ac:dyDescent="0.35">
      <c r="A48" s="1" t="s">
        <v>595</v>
      </c>
      <c r="B48" s="1" t="s">
        <v>74</v>
      </c>
      <c r="C48">
        <v>1749</v>
      </c>
      <c r="D48" s="2">
        <v>45725</v>
      </c>
      <c r="E48" s="1" t="s">
        <v>547</v>
      </c>
    </row>
    <row r="49" spans="1:5" x14ac:dyDescent="0.35">
      <c r="A49" s="1" t="s">
        <v>596</v>
      </c>
      <c r="B49" s="1" t="s">
        <v>75</v>
      </c>
      <c r="C49">
        <v>997</v>
      </c>
      <c r="D49" s="2">
        <v>45665</v>
      </c>
      <c r="E49" s="1" t="s">
        <v>563</v>
      </c>
    </row>
    <row r="50" spans="1:5" x14ac:dyDescent="0.35">
      <c r="A50" s="1" t="s">
        <v>597</v>
      </c>
      <c r="B50" s="1" t="s">
        <v>76</v>
      </c>
      <c r="C50">
        <v>1473</v>
      </c>
      <c r="D50" s="2">
        <v>45683</v>
      </c>
      <c r="E50" s="1" t="s">
        <v>554</v>
      </c>
    </row>
    <row r="51" spans="1:5" x14ac:dyDescent="0.35">
      <c r="A51" s="1" t="s">
        <v>598</v>
      </c>
      <c r="B51" s="1" t="s">
        <v>77</v>
      </c>
      <c r="C51">
        <v>1884</v>
      </c>
      <c r="D51" s="2">
        <v>45685</v>
      </c>
      <c r="E51" s="1" t="s">
        <v>563</v>
      </c>
    </row>
    <row r="52" spans="1:5" x14ac:dyDescent="0.35">
      <c r="A52" s="1" t="s">
        <v>599</v>
      </c>
      <c r="B52" s="1" t="s">
        <v>78</v>
      </c>
      <c r="C52">
        <v>1898</v>
      </c>
      <c r="D52" s="2">
        <v>45680</v>
      </c>
      <c r="E52" s="1" t="s">
        <v>545</v>
      </c>
    </row>
    <row r="53" spans="1:5" x14ac:dyDescent="0.35">
      <c r="A53" s="1" t="s">
        <v>600</v>
      </c>
      <c r="B53" s="1" t="s">
        <v>79</v>
      </c>
      <c r="C53">
        <v>1736</v>
      </c>
      <c r="D53" s="2">
        <v>45722</v>
      </c>
      <c r="E53" s="1" t="s">
        <v>554</v>
      </c>
    </row>
    <row r="54" spans="1:5" x14ac:dyDescent="0.35">
      <c r="A54" s="1" t="s">
        <v>601</v>
      </c>
      <c r="B54" s="1" t="s">
        <v>80</v>
      </c>
      <c r="C54">
        <v>1266</v>
      </c>
      <c r="D54" s="2">
        <v>45711</v>
      </c>
      <c r="E54" s="1" t="s">
        <v>563</v>
      </c>
    </row>
    <row r="55" spans="1:5" x14ac:dyDescent="0.35">
      <c r="A55" s="1" t="s">
        <v>602</v>
      </c>
      <c r="B55" s="1" t="s">
        <v>81</v>
      </c>
      <c r="C55">
        <v>1160</v>
      </c>
      <c r="D55" s="2">
        <v>45776</v>
      </c>
      <c r="E55" s="1" t="s">
        <v>545</v>
      </c>
    </row>
    <row r="56" spans="1:5" x14ac:dyDescent="0.35">
      <c r="A56" s="1" t="s">
        <v>603</v>
      </c>
      <c r="B56" s="1" t="s">
        <v>82</v>
      </c>
      <c r="C56">
        <v>1677</v>
      </c>
      <c r="D56" s="2">
        <v>45711</v>
      </c>
      <c r="E56" s="1" t="s">
        <v>547</v>
      </c>
    </row>
    <row r="57" spans="1:5" x14ac:dyDescent="0.35">
      <c r="A57" s="1" t="s">
        <v>604</v>
      </c>
      <c r="B57" s="1" t="s">
        <v>83</v>
      </c>
      <c r="C57">
        <v>603</v>
      </c>
      <c r="D57" s="2">
        <v>45778</v>
      </c>
      <c r="E57" s="1" t="s">
        <v>545</v>
      </c>
    </row>
    <row r="58" spans="1:5" x14ac:dyDescent="0.35">
      <c r="A58" s="1" t="s">
        <v>605</v>
      </c>
      <c r="B58" s="1" t="s">
        <v>84</v>
      </c>
      <c r="C58">
        <v>1045</v>
      </c>
      <c r="D58" s="2">
        <v>45713</v>
      </c>
      <c r="E58" s="1" t="s">
        <v>554</v>
      </c>
    </row>
    <row r="59" spans="1:5" x14ac:dyDescent="0.35">
      <c r="A59" s="1" t="s">
        <v>606</v>
      </c>
      <c r="B59" s="1" t="s">
        <v>85</v>
      </c>
      <c r="C59">
        <v>1817</v>
      </c>
      <c r="D59" s="2">
        <v>45767</v>
      </c>
      <c r="E59" s="1" t="s">
        <v>556</v>
      </c>
    </row>
    <row r="60" spans="1:5" x14ac:dyDescent="0.35">
      <c r="A60" s="1" t="s">
        <v>607</v>
      </c>
      <c r="B60" s="1" t="s">
        <v>86</v>
      </c>
      <c r="C60">
        <v>540</v>
      </c>
      <c r="D60" s="2">
        <v>45699</v>
      </c>
      <c r="E60" s="1" t="s">
        <v>547</v>
      </c>
    </row>
    <row r="61" spans="1:5" x14ac:dyDescent="0.35">
      <c r="A61" s="1" t="s">
        <v>608</v>
      </c>
      <c r="B61" s="1" t="s">
        <v>87</v>
      </c>
      <c r="C61">
        <v>1795</v>
      </c>
      <c r="D61" s="2">
        <v>45697</v>
      </c>
      <c r="E61" s="1" t="s">
        <v>563</v>
      </c>
    </row>
    <row r="62" spans="1:5" x14ac:dyDescent="0.35">
      <c r="A62" s="1" t="s">
        <v>609</v>
      </c>
      <c r="B62" s="1" t="s">
        <v>88</v>
      </c>
      <c r="C62">
        <v>1769</v>
      </c>
      <c r="D62" s="2">
        <v>45668</v>
      </c>
      <c r="E62" s="1" t="s">
        <v>554</v>
      </c>
    </row>
    <row r="63" spans="1:5" x14ac:dyDescent="0.35">
      <c r="A63" s="1" t="s">
        <v>610</v>
      </c>
      <c r="B63" s="1" t="s">
        <v>89</v>
      </c>
      <c r="C63">
        <v>1908</v>
      </c>
      <c r="D63" s="2">
        <v>45763</v>
      </c>
      <c r="E63" s="1" t="s">
        <v>556</v>
      </c>
    </row>
    <row r="64" spans="1:5" x14ac:dyDescent="0.35">
      <c r="A64" s="1" t="s">
        <v>611</v>
      </c>
      <c r="B64" s="1" t="s">
        <v>90</v>
      </c>
      <c r="C64">
        <v>1147</v>
      </c>
      <c r="D64" s="2">
        <v>45753</v>
      </c>
      <c r="E64" s="1" t="s">
        <v>545</v>
      </c>
    </row>
    <row r="65" spans="1:5" x14ac:dyDescent="0.35">
      <c r="A65" s="1" t="s">
        <v>612</v>
      </c>
      <c r="B65" s="1" t="s">
        <v>91</v>
      </c>
      <c r="C65">
        <v>1582</v>
      </c>
      <c r="D65" s="2">
        <v>45761</v>
      </c>
      <c r="E65" s="1" t="s">
        <v>556</v>
      </c>
    </row>
    <row r="66" spans="1:5" x14ac:dyDescent="0.35">
      <c r="A66" s="1" t="s">
        <v>613</v>
      </c>
      <c r="B66" s="1" t="s">
        <v>92</v>
      </c>
      <c r="C66">
        <v>1235</v>
      </c>
      <c r="D66" s="2">
        <v>45761</v>
      </c>
      <c r="E66" s="1" t="s">
        <v>554</v>
      </c>
    </row>
    <row r="67" spans="1:5" x14ac:dyDescent="0.35">
      <c r="A67" s="1" t="s">
        <v>614</v>
      </c>
      <c r="B67" s="1" t="s">
        <v>93</v>
      </c>
      <c r="C67">
        <v>1539</v>
      </c>
      <c r="D67" s="2">
        <v>45777</v>
      </c>
      <c r="E67" s="1" t="s">
        <v>554</v>
      </c>
    </row>
    <row r="68" spans="1:5" x14ac:dyDescent="0.35">
      <c r="A68" s="1" t="s">
        <v>615</v>
      </c>
      <c r="B68" s="1" t="s">
        <v>94</v>
      </c>
      <c r="C68">
        <v>1419</v>
      </c>
      <c r="D68" s="2">
        <v>45769</v>
      </c>
      <c r="E68" s="1" t="s">
        <v>556</v>
      </c>
    </row>
    <row r="69" spans="1:5" x14ac:dyDescent="0.35">
      <c r="A69" s="1" t="s">
        <v>616</v>
      </c>
      <c r="B69" s="1" t="s">
        <v>95</v>
      </c>
      <c r="C69">
        <v>295</v>
      </c>
      <c r="D69" s="2">
        <v>45723</v>
      </c>
      <c r="E69" s="1" t="s">
        <v>545</v>
      </c>
    </row>
    <row r="70" spans="1:5" x14ac:dyDescent="0.35">
      <c r="A70" s="1" t="s">
        <v>617</v>
      </c>
      <c r="B70" s="1" t="s">
        <v>96</v>
      </c>
      <c r="C70">
        <v>851</v>
      </c>
      <c r="D70" s="2">
        <v>45686</v>
      </c>
      <c r="E70" s="1" t="s">
        <v>556</v>
      </c>
    </row>
    <row r="71" spans="1:5" x14ac:dyDescent="0.35">
      <c r="A71" s="1" t="s">
        <v>618</v>
      </c>
      <c r="B71" s="1" t="s">
        <v>97</v>
      </c>
      <c r="C71">
        <v>1621</v>
      </c>
      <c r="D71" s="2">
        <v>45683</v>
      </c>
      <c r="E71" s="1" t="s">
        <v>554</v>
      </c>
    </row>
    <row r="72" spans="1:5" x14ac:dyDescent="0.35">
      <c r="A72" s="1" t="s">
        <v>619</v>
      </c>
      <c r="B72" s="1" t="s">
        <v>98</v>
      </c>
      <c r="C72">
        <v>1572</v>
      </c>
      <c r="D72" s="2">
        <v>45691</v>
      </c>
      <c r="E72" s="1" t="s">
        <v>554</v>
      </c>
    </row>
    <row r="73" spans="1:5" x14ac:dyDescent="0.35">
      <c r="A73" s="1" t="s">
        <v>620</v>
      </c>
      <c r="B73" s="1" t="s">
        <v>99</v>
      </c>
      <c r="C73">
        <v>2040</v>
      </c>
      <c r="D73" s="2">
        <v>45676</v>
      </c>
      <c r="E73" s="1" t="s">
        <v>563</v>
      </c>
    </row>
    <row r="74" spans="1:5" x14ac:dyDescent="0.35">
      <c r="A74" s="1" t="s">
        <v>621</v>
      </c>
      <c r="B74" s="1" t="s">
        <v>100</v>
      </c>
      <c r="C74">
        <v>1113</v>
      </c>
      <c r="D74" s="2">
        <v>45728</v>
      </c>
      <c r="E74" s="1" t="s">
        <v>563</v>
      </c>
    </row>
    <row r="75" spans="1:5" x14ac:dyDescent="0.35">
      <c r="A75" s="1" t="s">
        <v>622</v>
      </c>
      <c r="B75" s="1" t="s">
        <v>101</v>
      </c>
      <c r="C75">
        <v>939</v>
      </c>
      <c r="D75" s="2">
        <v>45734</v>
      </c>
      <c r="E75" s="1" t="s">
        <v>547</v>
      </c>
    </row>
    <row r="76" spans="1:5" x14ac:dyDescent="0.35">
      <c r="A76" s="1" t="s">
        <v>623</v>
      </c>
      <c r="B76" s="1" t="s">
        <v>102</v>
      </c>
      <c r="C76">
        <v>429</v>
      </c>
      <c r="D76" s="2">
        <v>45709</v>
      </c>
      <c r="E76" s="1" t="s">
        <v>554</v>
      </c>
    </row>
    <row r="77" spans="1:5" x14ac:dyDescent="0.35">
      <c r="A77" s="1" t="s">
        <v>624</v>
      </c>
      <c r="B77" s="1" t="s">
        <v>103</v>
      </c>
      <c r="C77">
        <v>1768</v>
      </c>
      <c r="D77" s="2">
        <v>45699</v>
      </c>
      <c r="E77" s="1" t="s">
        <v>563</v>
      </c>
    </row>
    <row r="78" spans="1:5" x14ac:dyDescent="0.35">
      <c r="A78" s="1" t="s">
        <v>625</v>
      </c>
      <c r="B78" s="1" t="s">
        <v>104</v>
      </c>
      <c r="C78">
        <v>2122</v>
      </c>
      <c r="D78" s="2">
        <v>45709</v>
      </c>
      <c r="E78" s="1" t="s">
        <v>556</v>
      </c>
    </row>
    <row r="79" spans="1:5" x14ac:dyDescent="0.35">
      <c r="A79" s="1" t="s">
        <v>626</v>
      </c>
      <c r="B79" s="1" t="s">
        <v>105</v>
      </c>
      <c r="C79">
        <v>1412</v>
      </c>
      <c r="D79" s="2">
        <v>45778</v>
      </c>
      <c r="E79" s="1" t="s">
        <v>545</v>
      </c>
    </row>
    <row r="80" spans="1:5" x14ac:dyDescent="0.35">
      <c r="A80" s="1" t="s">
        <v>627</v>
      </c>
      <c r="B80" s="1" t="s">
        <v>106</v>
      </c>
      <c r="C80">
        <v>1304</v>
      </c>
      <c r="D80" s="2">
        <v>45742</v>
      </c>
      <c r="E80" s="1" t="s">
        <v>556</v>
      </c>
    </row>
    <row r="81" spans="1:5" x14ac:dyDescent="0.35">
      <c r="A81" s="1" t="s">
        <v>628</v>
      </c>
      <c r="B81" s="1" t="s">
        <v>107</v>
      </c>
      <c r="C81">
        <v>1286</v>
      </c>
      <c r="D81" s="2">
        <v>45725</v>
      </c>
      <c r="E81" s="1" t="s">
        <v>545</v>
      </c>
    </row>
    <row r="82" spans="1:5" x14ac:dyDescent="0.35">
      <c r="A82" s="1" t="s">
        <v>629</v>
      </c>
      <c r="B82" s="1" t="s">
        <v>108</v>
      </c>
      <c r="C82">
        <v>1009</v>
      </c>
      <c r="D82" s="2">
        <v>45666</v>
      </c>
      <c r="E82" s="1" t="s">
        <v>563</v>
      </c>
    </row>
    <row r="83" spans="1:5" x14ac:dyDescent="0.35">
      <c r="A83" s="1" t="s">
        <v>630</v>
      </c>
      <c r="B83" s="1" t="s">
        <v>109</v>
      </c>
      <c r="C83">
        <v>1638</v>
      </c>
      <c r="D83" s="2">
        <v>45742</v>
      </c>
      <c r="E83" s="1" t="s">
        <v>547</v>
      </c>
    </row>
    <row r="84" spans="1:5" x14ac:dyDescent="0.35">
      <c r="A84" s="1" t="s">
        <v>631</v>
      </c>
      <c r="B84" s="1" t="s">
        <v>110</v>
      </c>
      <c r="C84">
        <v>1530</v>
      </c>
      <c r="D84" s="2">
        <v>45767</v>
      </c>
      <c r="E84" s="1" t="s">
        <v>556</v>
      </c>
    </row>
    <row r="85" spans="1:5" x14ac:dyDescent="0.35">
      <c r="A85" s="1" t="s">
        <v>632</v>
      </c>
      <c r="B85" s="1" t="s">
        <v>111</v>
      </c>
      <c r="C85">
        <v>1712</v>
      </c>
      <c r="D85" s="2">
        <v>45722</v>
      </c>
      <c r="E85" s="1" t="s">
        <v>556</v>
      </c>
    </row>
    <row r="86" spans="1:5" x14ac:dyDescent="0.35">
      <c r="A86" s="1" t="s">
        <v>633</v>
      </c>
      <c r="B86" s="1" t="s">
        <v>112</v>
      </c>
      <c r="C86">
        <v>461</v>
      </c>
      <c r="D86" s="2">
        <v>45706</v>
      </c>
      <c r="E86" s="1" t="s">
        <v>556</v>
      </c>
    </row>
    <row r="87" spans="1:5" x14ac:dyDescent="0.35">
      <c r="A87" s="1" t="s">
        <v>634</v>
      </c>
      <c r="B87" s="1" t="s">
        <v>113</v>
      </c>
      <c r="C87">
        <v>755</v>
      </c>
      <c r="D87" s="2">
        <v>45739</v>
      </c>
      <c r="E87" s="1" t="s">
        <v>545</v>
      </c>
    </row>
    <row r="88" spans="1:5" x14ac:dyDescent="0.35">
      <c r="A88" s="1" t="s">
        <v>635</v>
      </c>
      <c r="B88" s="1" t="s">
        <v>114</v>
      </c>
      <c r="C88">
        <v>748</v>
      </c>
      <c r="D88" s="2">
        <v>45752</v>
      </c>
      <c r="E88" s="1" t="s">
        <v>563</v>
      </c>
    </row>
    <row r="89" spans="1:5" x14ac:dyDescent="0.35">
      <c r="A89" s="1" t="s">
        <v>636</v>
      </c>
      <c r="B89" s="1" t="s">
        <v>115</v>
      </c>
      <c r="C89">
        <v>471</v>
      </c>
      <c r="D89" s="2">
        <v>45700</v>
      </c>
      <c r="E89" s="1" t="s">
        <v>556</v>
      </c>
    </row>
    <row r="90" spans="1:5" x14ac:dyDescent="0.35">
      <c r="A90" s="1" t="s">
        <v>637</v>
      </c>
      <c r="B90" s="1" t="s">
        <v>116</v>
      </c>
      <c r="C90">
        <v>1194</v>
      </c>
      <c r="D90" s="2">
        <v>45694</v>
      </c>
      <c r="E90" s="1" t="s">
        <v>556</v>
      </c>
    </row>
    <row r="91" spans="1:5" x14ac:dyDescent="0.35">
      <c r="A91" s="1" t="s">
        <v>638</v>
      </c>
      <c r="B91" s="1" t="s">
        <v>117</v>
      </c>
      <c r="C91">
        <v>1900</v>
      </c>
      <c r="D91" s="2">
        <v>45726</v>
      </c>
      <c r="E91" s="1" t="s">
        <v>547</v>
      </c>
    </row>
    <row r="92" spans="1:5" x14ac:dyDescent="0.35">
      <c r="A92" s="1" t="s">
        <v>639</v>
      </c>
      <c r="B92" s="1" t="s">
        <v>118</v>
      </c>
      <c r="C92">
        <v>1937</v>
      </c>
      <c r="D92" s="2">
        <v>45687</v>
      </c>
      <c r="E92" s="1" t="s">
        <v>547</v>
      </c>
    </row>
    <row r="93" spans="1:5" x14ac:dyDescent="0.35">
      <c r="A93" s="1" t="s">
        <v>640</v>
      </c>
      <c r="B93" s="1" t="s">
        <v>119</v>
      </c>
      <c r="C93">
        <v>1391</v>
      </c>
      <c r="D93" s="2">
        <v>45738</v>
      </c>
      <c r="E93" s="1" t="s">
        <v>563</v>
      </c>
    </row>
    <row r="94" spans="1:5" x14ac:dyDescent="0.35">
      <c r="A94" s="1" t="s">
        <v>641</v>
      </c>
      <c r="B94" s="1" t="s">
        <v>120</v>
      </c>
      <c r="C94">
        <v>520</v>
      </c>
      <c r="D94" s="2">
        <v>45739</v>
      </c>
      <c r="E94" s="1" t="s">
        <v>563</v>
      </c>
    </row>
    <row r="95" spans="1:5" x14ac:dyDescent="0.35">
      <c r="A95" s="1" t="s">
        <v>642</v>
      </c>
      <c r="B95" s="1" t="s">
        <v>121</v>
      </c>
      <c r="C95">
        <v>2298</v>
      </c>
      <c r="D95" s="2">
        <v>45683</v>
      </c>
      <c r="E95" s="1" t="s">
        <v>554</v>
      </c>
    </row>
    <row r="96" spans="1:5" x14ac:dyDescent="0.35">
      <c r="A96" s="1" t="s">
        <v>643</v>
      </c>
      <c r="B96" s="1" t="s">
        <v>122</v>
      </c>
      <c r="C96">
        <v>1841</v>
      </c>
      <c r="D96" s="2">
        <v>45725</v>
      </c>
      <c r="E96" s="1" t="s">
        <v>547</v>
      </c>
    </row>
    <row r="97" spans="1:5" x14ac:dyDescent="0.35">
      <c r="A97" s="1" t="s">
        <v>644</v>
      </c>
      <c r="B97" s="1" t="s">
        <v>123</v>
      </c>
      <c r="C97">
        <v>1729</v>
      </c>
      <c r="D97" s="2">
        <v>45698</v>
      </c>
      <c r="E97" s="1" t="s">
        <v>554</v>
      </c>
    </row>
    <row r="98" spans="1:5" x14ac:dyDescent="0.35">
      <c r="A98" s="1" t="s">
        <v>645</v>
      </c>
      <c r="B98" s="1" t="s">
        <v>124</v>
      </c>
      <c r="C98">
        <v>440</v>
      </c>
      <c r="D98" s="2">
        <v>45777</v>
      </c>
      <c r="E98" s="1" t="s">
        <v>545</v>
      </c>
    </row>
    <row r="99" spans="1:5" x14ac:dyDescent="0.35">
      <c r="A99" s="1" t="s">
        <v>646</v>
      </c>
      <c r="B99" s="1" t="s">
        <v>125</v>
      </c>
      <c r="C99">
        <v>1695</v>
      </c>
      <c r="D99" s="2">
        <v>45710</v>
      </c>
      <c r="E99" s="1" t="s">
        <v>554</v>
      </c>
    </row>
    <row r="100" spans="1:5" x14ac:dyDescent="0.35">
      <c r="A100" s="1" t="s">
        <v>647</v>
      </c>
      <c r="B100" s="1" t="s">
        <v>126</v>
      </c>
      <c r="C100">
        <v>643</v>
      </c>
      <c r="D100" s="2">
        <v>45762</v>
      </c>
      <c r="E100" s="1" t="s">
        <v>556</v>
      </c>
    </row>
    <row r="101" spans="1:5" x14ac:dyDescent="0.35">
      <c r="A101" s="1" t="s">
        <v>648</v>
      </c>
      <c r="B101" s="1" t="s">
        <v>127</v>
      </c>
      <c r="C101">
        <v>1656</v>
      </c>
      <c r="D101" s="2">
        <v>45703</v>
      </c>
      <c r="E101" s="1" t="s">
        <v>554</v>
      </c>
    </row>
    <row r="102" spans="1:5" x14ac:dyDescent="0.35">
      <c r="A102" s="1" t="s">
        <v>649</v>
      </c>
      <c r="B102" s="1" t="s">
        <v>128</v>
      </c>
      <c r="C102">
        <v>465</v>
      </c>
      <c r="D102" s="2">
        <v>45773</v>
      </c>
      <c r="E102" s="1" t="s">
        <v>563</v>
      </c>
    </row>
    <row r="103" spans="1:5" x14ac:dyDescent="0.35">
      <c r="A103" s="1" t="s">
        <v>650</v>
      </c>
      <c r="B103" s="1" t="s">
        <v>129</v>
      </c>
      <c r="C103">
        <v>552</v>
      </c>
      <c r="D103" s="2">
        <v>45767</v>
      </c>
      <c r="E103" s="1" t="s">
        <v>545</v>
      </c>
    </row>
    <row r="104" spans="1:5" x14ac:dyDescent="0.35">
      <c r="A104" s="1" t="s">
        <v>651</v>
      </c>
      <c r="B104" s="1" t="s">
        <v>130</v>
      </c>
      <c r="C104">
        <v>868</v>
      </c>
      <c r="D104" s="2">
        <v>45668</v>
      </c>
      <c r="E104" s="1" t="s">
        <v>556</v>
      </c>
    </row>
    <row r="105" spans="1:5" x14ac:dyDescent="0.35">
      <c r="A105" s="1" t="s">
        <v>652</v>
      </c>
      <c r="B105" s="1" t="s">
        <v>131</v>
      </c>
      <c r="C105">
        <v>1976</v>
      </c>
      <c r="D105" s="2">
        <v>45674</v>
      </c>
      <c r="E105" s="1" t="s">
        <v>554</v>
      </c>
    </row>
    <row r="106" spans="1:5" x14ac:dyDescent="0.35">
      <c r="A106" s="1" t="s">
        <v>653</v>
      </c>
      <c r="B106" s="1" t="s">
        <v>132</v>
      </c>
      <c r="C106">
        <v>1292</v>
      </c>
      <c r="D106" s="2">
        <v>45711</v>
      </c>
      <c r="E106" s="1" t="s">
        <v>545</v>
      </c>
    </row>
    <row r="107" spans="1:5" x14ac:dyDescent="0.35">
      <c r="A107" s="1" t="s">
        <v>654</v>
      </c>
      <c r="B107" s="1" t="s">
        <v>133</v>
      </c>
      <c r="C107">
        <v>2088</v>
      </c>
      <c r="D107" s="2">
        <v>45768</v>
      </c>
      <c r="E107" s="1" t="s">
        <v>545</v>
      </c>
    </row>
    <row r="108" spans="1:5" x14ac:dyDescent="0.35">
      <c r="A108" s="1" t="s">
        <v>655</v>
      </c>
      <c r="B108" s="1" t="s">
        <v>134</v>
      </c>
      <c r="C108">
        <v>1275</v>
      </c>
      <c r="D108" s="2">
        <v>45698</v>
      </c>
      <c r="E108" s="1" t="s">
        <v>556</v>
      </c>
    </row>
    <row r="109" spans="1:5" x14ac:dyDescent="0.35">
      <c r="A109" s="1" t="s">
        <v>656</v>
      </c>
      <c r="B109" s="1" t="s">
        <v>135</v>
      </c>
      <c r="C109">
        <v>665</v>
      </c>
      <c r="D109" s="2">
        <v>45664</v>
      </c>
      <c r="E109" s="1" t="s">
        <v>554</v>
      </c>
    </row>
    <row r="110" spans="1:5" x14ac:dyDescent="0.35">
      <c r="A110" s="1" t="s">
        <v>657</v>
      </c>
      <c r="B110" s="1" t="s">
        <v>136</v>
      </c>
      <c r="C110">
        <v>972</v>
      </c>
      <c r="D110" s="2">
        <v>45734</v>
      </c>
      <c r="E110" s="1" t="s">
        <v>545</v>
      </c>
    </row>
    <row r="111" spans="1:5" x14ac:dyDescent="0.35">
      <c r="A111" s="1" t="s">
        <v>658</v>
      </c>
      <c r="B111" s="1" t="s">
        <v>137</v>
      </c>
      <c r="C111">
        <v>1663</v>
      </c>
      <c r="D111" s="2">
        <v>45670</v>
      </c>
      <c r="E111" s="1" t="s">
        <v>545</v>
      </c>
    </row>
    <row r="112" spans="1:5" x14ac:dyDescent="0.35">
      <c r="A112" s="1" t="s">
        <v>659</v>
      </c>
      <c r="B112" s="1" t="s">
        <v>138</v>
      </c>
      <c r="C112">
        <v>2056</v>
      </c>
      <c r="D112" s="2">
        <v>45778</v>
      </c>
      <c r="E112" s="1" t="s">
        <v>547</v>
      </c>
    </row>
    <row r="113" spans="1:5" x14ac:dyDescent="0.35">
      <c r="A113" s="1" t="s">
        <v>660</v>
      </c>
      <c r="B113" s="1" t="s">
        <v>139</v>
      </c>
      <c r="C113">
        <v>1409</v>
      </c>
      <c r="D113" s="2">
        <v>45722</v>
      </c>
      <c r="E113" s="1" t="s">
        <v>545</v>
      </c>
    </row>
    <row r="114" spans="1:5" x14ac:dyDescent="0.35">
      <c r="A114" s="1" t="s">
        <v>661</v>
      </c>
      <c r="B114" s="1" t="s">
        <v>140</v>
      </c>
      <c r="C114">
        <v>670</v>
      </c>
      <c r="D114" s="2">
        <v>45682</v>
      </c>
      <c r="E114" s="1" t="s">
        <v>547</v>
      </c>
    </row>
    <row r="115" spans="1:5" x14ac:dyDescent="0.35">
      <c r="A115" s="1" t="s">
        <v>662</v>
      </c>
      <c r="B115" s="1" t="s">
        <v>141</v>
      </c>
      <c r="C115">
        <v>688</v>
      </c>
      <c r="D115" s="2">
        <v>45673</v>
      </c>
      <c r="E115" s="1" t="s">
        <v>554</v>
      </c>
    </row>
    <row r="116" spans="1:5" x14ac:dyDescent="0.35">
      <c r="A116" s="1" t="s">
        <v>663</v>
      </c>
      <c r="B116" s="1" t="s">
        <v>142</v>
      </c>
      <c r="C116">
        <v>2103</v>
      </c>
      <c r="D116" s="2">
        <v>45667</v>
      </c>
      <c r="E116" s="1" t="s">
        <v>554</v>
      </c>
    </row>
    <row r="117" spans="1:5" x14ac:dyDescent="0.35">
      <c r="A117" s="1" t="s">
        <v>664</v>
      </c>
      <c r="B117" s="1" t="s">
        <v>143</v>
      </c>
      <c r="C117">
        <v>701</v>
      </c>
      <c r="D117" s="2">
        <v>45713</v>
      </c>
      <c r="E117" s="1" t="s">
        <v>554</v>
      </c>
    </row>
    <row r="118" spans="1:5" x14ac:dyDescent="0.35">
      <c r="A118" s="1" t="s">
        <v>665</v>
      </c>
      <c r="B118" s="1" t="s">
        <v>144</v>
      </c>
      <c r="C118">
        <v>1220</v>
      </c>
      <c r="D118" s="2">
        <v>45671</v>
      </c>
      <c r="E118" s="1" t="s">
        <v>563</v>
      </c>
    </row>
    <row r="119" spans="1:5" x14ac:dyDescent="0.35">
      <c r="A119" s="1" t="s">
        <v>666</v>
      </c>
      <c r="B119" s="1" t="s">
        <v>145</v>
      </c>
      <c r="C119">
        <v>565</v>
      </c>
      <c r="D119" s="2">
        <v>45660</v>
      </c>
      <c r="E119" s="1" t="s">
        <v>554</v>
      </c>
    </row>
    <row r="120" spans="1:5" x14ac:dyDescent="0.35">
      <c r="A120" s="1" t="s">
        <v>667</v>
      </c>
      <c r="B120" s="1" t="s">
        <v>146</v>
      </c>
      <c r="C120">
        <v>644</v>
      </c>
      <c r="D120" s="2">
        <v>45708</v>
      </c>
      <c r="E120" s="1" t="s">
        <v>545</v>
      </c>
    </row>
    <row r="121" spans="1:5" x14ac:dyDescent="0.35">
      <c r="A121" s="1" t="s">
        <v>668</v>
      </c>
      <c r="B121" s="1" t="s">
        <v>147</v>
      </c>
      <c r="C121">
        <v>2269</v>
      </c>
      <c r="D121" s="2">
        <v>45773</v>
      </c>
      <c r="E121" s="1" t="s">
        <v>556</v>
      </c>
    </row>
    <row r="122" spans="1:5" x14ac:dyDescent="0.35">
      <c r="A122" s="1" t="s">
        <v>669</v>
      </c>
      <c r="B122" s="1" t="s">
        <v>148</v>
      </c>
      <c r="C122">
        <v>739</v>
      </c>
      <c r="D122" s="2">
        <v>45693</v>
      </c>
      <c r="E122" s="1" t="s">
        <v>547</v>
      </c>
    </row>
    <row r="123" spans="1:5" x14ac:dyDescent="0.35">
      <c r="A123" s="1" t="s">
        <v>670</v>
      </c>
      <c r="B123" s="1" t="s">
        <v>149</v>
      </c>
      <c r="C123">
        <v>1168</v>
      </c>
      <c r="D123" s="2">
        <v>45722</v>
      </c>
      <c r="E123" s="1" t="s">
        <v>563</v>
      </c>
    </row>
    <row r="124" spans="1:5" x14ac:dyDescent="0.35">
      <c r="A124" s="1" t="s">
        <v>671</v>
      </c>
      <c r="B124" s="1" t="s">
        <v>150</v>
      </c>
      <c r="C124">
        <v>1244</v>
      </c>
      <c r="D124" s="2">
        <v>45684</v>
      </c>
      <c r="E124" s="1" t="s">
        <v>554</v>
      </c>
    </row>
    <row r="125" spans="1:5" x14ac:dyDescent="0.35">
      <c r="A125" s="1" t="s">
        <v>672</v>
      </c>
      <c r="B125" s="1" t="s">
        <v>151</v>
      </c>
      <c r="C125">
        <v>1409</v>
      </c>
      <c r="D125" s="2">
        <v>45662</v>
      </c>
      <c r="E125" s="1" t="s">
        <v>554</v>
      </c>
    </row>
    <row r="126" spans="1:5" x14ac:dyDescent="0.35">
      <c r="A126" s="1" t="s">
        <v>673</v>
      </c>
      <c r="B126" s="1" t="s">
        <v>152</v>
      </c>
      <c r="C126">
        <v>805</v>
      </c>
      <c r="D126" s="2">
        <v>45722</v>
      </c>
      <c r="E126" s="1" t="s">
        <v>556</v>
      </c>
    </row>
    <row r="127" spans="1:5" x14ac:dyDescent="0.35">
      <c r="A127" s="1" t="s">
        <v>674</v>
      </c>
      <c r="B127" s="1" t="s">
        <v>153</v>
      </c>
      <c r="C127">
        <v>921</v>
      </c>
      <c r="D127" s="2">
        <v>45756</v>
      </c>
      <c r="E127" s="1" t="s">
        <v>556</v>
      </c>
    </row>
    <row r="128" spans="1:5" x14ac:dyDescent="0.35">
      <c r="A128" s="1" t="s">
        <v>675</v>
      </c>
      <c r="B128" s="1" t="s">
        <v>154</v>
      </c>
      <c r="C128">
        <v>1697</v>
      </c>
      <c r="D128" s="2">
        <v>45702</v>
      </c>
      <c r="E128" s="1" t="s">
        <v>563</v>
      </c>
    </row>
    <row r="129" spans="1:5" x14ac:dyDescent="0.35">
      <c r="A129" s="1" t="s">
        <v>676</v>
      </c>
      <c r="B129" s="1" t="s">
        <v>155</v>
      </c>
      <c r="C129">
        <v>953</v>
      </c>
      <c r="D129" s="2">
        <v>45669</v>
      </c>
      <c r="E129" s="1" t="s">
        <v>547</v>
      </c>
    </row>
    <row r="130" spans="1:5" x14ac:dyDescent="0.35">
      <c r="A130" s="1" t="s">
        <v>677</v>
      </c>
      <c r="B130" s="1" t="s">
        <v>156</v>
      </c>
      <c r="C130">
        <v>794</v>
      </c>
      <c r="D130" s="2">
        <v>45660</v>
      </c>
      <c r="E130" s="1" t="s">
        <v>554</v>
      </c>
    </row>
    <row r="131" spans="1:5" x14ac:dyDescent="0.35">
      <c r="A131" s="1" t="s">
        <v>678</v>
      </c>
      <c r="B131" s="1" t="s">
        <v>157</v>
      </c>
      <c r="C131">
        <v>1834</v>
      </c>
      <c r="D131" s="2">
        <v>45666</v>
      </c>
      <c r="E131" s="1" t="s">
        <v>563</v>
      </c>
    </row>
    <row r="132" spans="1:5" x14ac:dyDescent="0.35">
      <c r="A132" s="1" t="s">
        <v>679</v>
      </c>
      <c r="B132" s="1" t="s">
        <v>158</v>
      </c>
      <c r="C132">
        <v>1958</v>
      </c>
      <c r="D132" s="2">
        <v>45677</v>
      </c>
      <c r="E132" s="1" t="s">
        <v>545</v>
      </c>
    </row>
    <row r="133" spans="1:5" x14ac:dyDescent="0.35">
      <c r="A133" s="1" t="s">
        <v>680</v>
      </c>
      <c r="B133" s="1" t="s">
        <v>159</v>
      </c>
      <c r="C133">
        <v>1854</v>
      </c>
      <c r="D133" s="2">
        <v>45661</v>
      </c>
      <c r="E133" s="1" t="s">
        <v>545</v>
      </c>
    </row>
    <row r="134" spans="1:5" x14ac:dyDescent="0.35">
      <c r="A134" s="1" t="s">
        <v>681</v>
      </c>
      <c r="B134" s="1" t="s">
        <v>160</v>
      </c>
      <c r="C134">
        <v>439</v>
      </c>
      <c r="D134" s="2">
        <v>45714</v>
      </c>
      <c r="E134" s="1" t="s">
        <v>563</v>
      </c>
    </row>
    <row r="135" spans="1:5" x14ac:dyDescent="0.35">
      <c r="A135" s="1" t="s">
        <v>682</v>
      </c>
      <c r="B135" s="1" t="s">
        <v>161</v>
      </c>
      <c r="C135">
        <v>708</v>
      </c>
      <c r="D135" s="2">
        <v>45670</v>
      </c>
      <c r="E135" s="1" t="s">
        <v>554</v>
      </c>
    </row>
    <row r="136" spans="1:5" x14ac:dyDescent="0.35">
      <c r="A136" s="1" t="s">
        <v>683</v>
      </c>
      <c r="B136" s="1" t="s">
        <v>162</v>
      </c>
      <c r="C136">
        <v>1581</v>
      </c>
      <c r="D136" s="2">
        <v>45690</v>
      </c>
      <c r="E136" s="1" t="s">
        <v>563</v>
      </c>
    </row>
    <row r="137" spans="1:5" x14ac:dyDescent="0.35">
      <c r="A137" s="1" t="s">
        <v>684</v>
      </c>
      <c r="B137" s="1" t="s">
        <v>163</v>
      </c>
      <c r="C137">
        <v>2135</v>
      </c>
      <c r="D137" s="2">
        <v>45658</v>
      </c>
      <c r="E137" s="1" t="s">
        <v>554</v>
      </c>
    </row>
    <row r="138" spans="1:5" x14ac:dyDescent="0.35">
      <c r="A138" s="1" t="s">
        <v>685</v>
      </c>
      <c r="B138" s="1" t="s">
        <v>164</v>
      </c>
      <c r="C138">
        <v>1054</v>
      </c>
      <c r="D138" s="2">
        <v>45741</v>
      </c>
      <c r="E138" s="1" t="s">
        <v>556</v>
      </c>
    </row>
    <row r="139" spans="1:5" x14ac:dyDescent="0.35">
      <c r="A139" s="1" t="s">
        <v>686</v>
      </c>
      <c r="B139" s="1" t="s">
        <v>165</v>
      </c>
      <c r="C139">
        <v>1799</v>
      </c>
      <c r="D139" s="2">
        <v>45696</v>
      </c>
      <c r="E139" s="1" t="s">
        <v>563</v>
      </c>
    </row>
    <row r="140" spans="1:5" x14ac:dyDescent="0.35">
      <c r="A140" s="1" t="s">
        <v>687</v>
      </c>
      <c r="B140" s="1" t="s">
        <v>166</v>
      </c>
      <c r="C140">
        <v>722</v>
      </c>
      <c r="D140" s="2">
        <v>45690</v>
      </c>
      <c r="E140" s="1" t="s">
        <v>554</v>
      </c>
    </row>
    <row r="141" spans="1:5" x14ac:dyDescent="0.35">
      <c r="A141" s="1" t="s">
        <v>688</v>
      </c>
      <c r="B141" s="1" t="s">
        <v>167</v>
      </c>
      <c r="C141">
        <v>1529</v>
      </c>
      <c r="D141" s="2">
        <v>45691</v>
      </c>
      <c r="E141" s="1" t="s">
        <v>563</v>
      </c>
    </row>
    <row r="142" spans="1:5" x14ac:dyDescent="0.35">
      <c r="A142" s="1" t="s">
        <v>689</v>
      </c>
      <c r="B142" s="1" t="s">
        <v>168</v>
      </c>
      <c r="C142">
        <v>1901</v>
      </c>
      <c r="D142" s="2">
        <v>45721</v>
      </c>
      <c r="E142" s="1" t="s">
        <v>563</v>
      </c>
    </row>
    <row r="143" spans="1:5" x14ac:dyDescent="0.35">
      <c r="A143" s="1" t="s">
        <v>690</v>
      </c>
      <c r="B143" s="1" t="s">
        <v>169</v>
      </c>
      <c r="C143">
        <v>1577</v>
      </c>
      <c r="D143" s="2">
        <v>45741</v>
      </c>
      <c r="E143" s="1" t="s">
        <v>554</v>
      </c>
    </row>
    <row r="144" spans="1:5" x14ac:dyDescent="0.35">
      <c r="A144" s="1" t="s">
        <v>691</v>
      </c>
      <c r="B144" s="1" t="s">
        <v>170</v>
      </c>
      <c r="C144">
        <v>2006</v>
      </c>
      <c r="D144" s="2">
        <v>45684</v>
      </c>
      <c r="E144" s="1" t="s">
        <v>554</v>
      </c>
    </row>
    <row r="145" spans="1:5" x14ac:dyDescent="0.35">
      <c r="A145" s="1" t="s">
        <v>692</v>
      </c>
      <c r="B145" s="1" t="s">
        <v>171</v>
      </c>
      <c r="C145">
        <v>1429</v>
      </c>
      <c r="D145" s="2">
        <v>45728</v>
      </c>
      <c r="E145" s="1" t="s">
        <v>547</v>
      </c>
    </row>
    <row r="146" spans="1:5" x14ac:dyDescent="0.35">
      <c r="A146" s="1" t="s">
        <v>693</v>
      </c>
      <c r="B146" s="1" t="s">
        <v>172</v>
      </c>
      <c r="C146">
        <v>1601</v>
      </c>
      <c r="D146" s="2">
        <v>45686</v>
      </c>
      <c r="E146" s="1" t="s">
        <v>563</v>
      </c>
    </row>
    <row r="147" spans="1:5" x14ac:dyDescent="0.35">
      <c r="A147" s="1" t="s">
        <v>694</v>
      </c>
      <c r="B147" s="1" t="s">
        <v>173</v>
      </c>
      <c r="C147">
        <v>315</v>
      </c>
      <c r="D147" s="2">
        <v>45711</v>
      </c>
      <c r="E147" s="1" t="s">
        <v>545</v>
      </c>
    </row>
    <row r="148" spans="1:5" x14ac:dyDescent="0.35">
      <c r="A148" s="1" t="s">
        <v>695</v>
      </c>
      <c r="B148" s="1" t="s">
        <v>174</v>
      </c>
      <c r="C148">
        <v>568</v>
      </c>
      <c r="D148" s="2">
        <v>45704</v>
      </c>
      <c r="E148" s="1" t="s">
        <v>563</v>
      </c>
    </row>
    <row r="149" spans="1:5" x14ac:dyDescent="0.35">
      <c r="A149" s="1" t="s">
        <v>696</v>
      </c>
      <c r="B149" s="1" t="s">
        <v>175</v>
      </c>
      <c r="C149">
        <v>1522</v>
      </c>
      <c r="D149" s="2">
        <v>45726</v>
      </c>
      <c r="E149" s="1" t="s">
        <v>563</v>
      </c>
    </row>
    <row r="150" spans="1:5" x14ac:dyDescent="0.35">
      <c r="A150" s="1" t="s">
        <v>697</v>
      </c>
      <c r="B150" s="1" t="s">
        <v>176</v>
      </c>
      <c r="C150">
        <v>1332</v>
      </c>
      <c r="D150" s="2">
        <v>45698</v>
      </c>
      <c r="E150" s="1" t="s">
        <v>554</v>
      </c>
    </row>
    <row r="151" spans="1:5" x14ac:dyDescent="0.35">
      <c r="A151" s="1" t="s">
        <v>698</v>
      </c>
      <c r="B151" s="1" t="s">
        <v>177</v>
      </c>
      <c r="C151">
        <v>1241</v>
      </c>
      <c r="D151" s="2">
        <v>45733</v>
      </c>
      <c r="E151" s="1" t="s">
        <v>563</v>
      </c>
    </row>
    <row r="152" spans="1:5" x14ac:dyDescent="0.35">
      <c r="A152" s="1" t="s">
        <v>699</v>
      </c>
      <c r="B152" s="1" t="s">
        <v>178</v>
      </c>
      <c r="C152">
        <v>976</v>
      </c>
      <c r="D152" s="2">
        <v>45712</v>
      </c>
      <c r="E152" s="1" t="s">
        <v>563</v>
      </c>
    </row>
    <row r="153" spans="1:5" x14ac:dyDescent="0.35">
      <c r="A153" s="1" t="s">
        <v>700</v>
      </c>
      <c r="B153" s="1" t="s">
        <v>179</v>
      </c>
      <c r="C153">
        <v>1193</v>
      </c>
      <c r="D153" s="2">
        <v>45691</v>
      </c>
      <c r="E153" s="1" t="s">
        <v>545</v>
      </c>
    </row>
    <row r="154" spans="1:5" x14ac:dyDescent="0.35">
      <c r="A154" s="1" t="s">
        <v>701</v>
      </c>
      <c r="B154" s="1" t="s">
        <v>180</v>
      </c>
      <c r="C154">
        <v>890</v>
      </c>
      <c r="D154" s="2">
        <v>45658</v>
      </c>
      <c r="E154" s="1" t="s">
        <v>554</v>
      </c>
    </row>
    <row r="155" spans="1:5" x14ac:dyDescent="0.35">
      <c r="A155" s="1" t="s">
        <v>702</v>
      </c>
      <c r="B155" s="1" t="s">
        <v>181</v>
      </c>
      <c r="C155">
        <v>1185</v>
      </c>
      <c r="D155" s="2">
        <v>45743</v>
      </c>
      <c r="E155" s="1" t="s">
        <v>563</v>
      </c>
    </row>
    <row r="156" spans="1:5" x14ac:dyDescent="0.35">
      <c r="A156" s="1" t="s">
        <v>703</v>
      </c>
      <c r="B156" s="1" t="s">
        <v>182</v>
      </c>
      <c r="C156">
        <v>1276</v>
      </c>
      <c r="D156" s="2">
        <v>45677</v>
      </c>
      <c r="E156" s="1" t="s">
        <v>556</v>
      </c>
    </row>
    <row r="157" spans="1:5" x14ac:dyDescent="0.35">
      <c r="A157" s="1" t="s">
        <v>704</v>
      </c>
      <c r="B157" s="1" t="s">
        <v>183</v>
      </c>
      <c r="C157">
        <v>1762</v>
      </c>
      <c r="D157" s="2">
        <v>45671</v>
      </c>
      <c r="E157" s="1" t="s">
        <v>547</v>
      </c>
    </row>
    <row r="158" spans="1:5" x14ac:dyDescent="0.35">
      <c r="A158" s="1" t="s">
        <v>705</v>
      </c>
      <c r="B158" s="1" t="s">
        <v>184</v>
      </c>
      <c r="C158">
        <v>824</v>
      </c>
      <c r="D158" s="2">
        <v>45691</v>
      </c>
      <c r="E158" s="1" t="s">
        <v>545</v>
      </c>
    </row>
    <row r="159" spans="1:5" x14ac:dyDescent="0.35">
      <c r="A159" s="1" t="s">
        <v>706</v>
      </c>
      <c r="B159" s="1" t="s">
        <v>185</v>
      </c>
      <c r="C159">
        <v>664</v>
      </c>
      <c r="D159" s="2">
        <v>45725</v>
      </c>
      <c r="E159" s="1" t="s">
        <v>563</v>
      </c>
    </row>
    <row r="160" spans="1:5" x14ac:dyDescent="0.35">
      <c r="A160" s="1" t="s">
        <v>707</v>
      </c>
      <c r="B160" s="1" t="s">
        <v>186</v>
      </c>
      <c r="C160">
        <v>1739</v>
      </c>
      <c r="D160" s="2">
        <v>45683</v>
      </c>
      <c r="E160" s="1" t="s">
        <v>556</v>
      </c>
    </row>
    <row r="161" spans="1:5" x14ac:dyDescent="0.35">
      <c r="A161" s="1" t="s">
        <v>708</v>
      </c>
      <c r="B161" s="1" t="s">
        <v>187</v>
      </c>
      <c r="C161">
        <v>976</v>
      </c>
      <c r="D161" s="2">
        <v>45681</v>
      </c>
      <c r="E161" s="1" t="s">
        <v>563</v>
      </c>
    </row>
    <row r="162" spans="1:5" x14ac:dyDescent="0.35">
      <c r="A162" s="1" t="s">
        <v>709</v>
      </c>
      <c r="B162" s="1" t="s">
        <v>188</v>
      </c>
      <c r="C162">
        <v>1580</v>
      </c>
      <c r="D162" s="2">
        <v>45774</v>
      </c>
      <c r="E162" s="1" t="s">
        <v>563</v>
      </c>
    </row>
    <row r="163" spans="1:5" x14ac:dyDescent="0.35">
      <c r="A163" s="1" t="s">
        <v>710</v>
      </c>
      <c r="B163" s="1" t="s">
        <v>189</v>
      </c>
      <c r="C163">
        <v>1757</v>
      </c>
      <c r="D163" s="2">
        <v>45717</v>
      </c>
      <c r="E163" s="1" t="s">
        <v>554</v>
      </c>
    </row>
    <row r="164" spans="1:5" x14ac:dyDescent="0.35">
      <c r="A164" s="1" t="s">
        <v>711</v>
      </c>
      <c r="B164" s="1" t="s">
        <v>190</v>
      </c>
      <c r="C164">
        <v>1283</v>
      </c>
      <c r="D164" s="2">
        <v>45764</v>
      </c>
      <c r="E164" s="1" t="s">
        <v>554</v>
      </c>
    </row>
    <row r="165" spans="1:5" x14ac:dyDescent="0.35">
      <c r="A165" s="1" t="s">
        <v>712</v>
      </c>
      <c r="B165" s="1" t="s">
        <v>191</v>
      </c>
      <c r="C165">
        <v>1936</v>
      </c>
      <c r="D165" s="2">
        <v>45705</v>
      </c>
      <c r="E165" s="1" t="s">
        <v>554</v>
      </c>
    </row>
    <row r="166" spans="1:5" x14ac:dyDescent="0.35">
      <c r="A166" s="1" t="s">
        <v>713</v>
      </c>
      <c r="B166" s="1" t="s">
        <v>192</v>
      </c>
      <c r="C166">
        <v>989</v>
      </c>
      <c r="D166" s="2">
        <v>45734</v>
      </c>
      <c r="E166" s="1" t="s">
        <v>556</v>
      </c>
    </row>
    <row r="167" spans="1:5" x14ac:dyDescent="0.35">
      <c r="A167" s="1" t="s">
        <v>714</v>
      </c>
      <c r="B167" s="1" t="s">
        <v>193</v>
      </c>
      <c r="C167">
        <v>811</v>
      </c>
      <c r="D167" s="2">
        <v>45704</v>
      </c>
      <c r="E167" s="1" t="s">
        <v>563</v>
      </c>
    </row>
    <row r="168" spans="1:5" x14ac:dyDescent="0.35">
      <c r="A168" s="1" t="s">
        <v>715</v>
      </c>
      <c r="B168" s="1" t="s">
        <v>194</v>
      </c>
      <c r="C168">
        <v>1558</v>
      </c>
      <c r="D168" s="2">
        <v>45730</v>
      </c>
      <c r="E168" s="1" t="s">
        <v>547</v>
      </c>
    </row>
    <row r="169" spans="1:5" x14ac:dyDescent="0.35">
      <c r="A169" s="1" t="s">
        <v>716</v>
      </c>
      <c r="B169" s="1" t="s">
        <v>195</v>
      </c>
      <c r="C169">
        <v>493</v>
      </c>
      <c r="D169" s="2">
        <v>45707</v>
      </c>
      <c r="E169" s="1" t="s">
        <v>545</v>
      </c>
    </row>
    <row r="170" spans="1:5" x14ac:dyDescent="0.35">
      <c r="A170" s="1" t="s">
        <v>717</v>
      </c>
      <c r="B170" s="1" t="s">
        <v>196</v>
      </c>
      <c r="C170">
        <v>1287</v>
      </c>
      <c r="D170" s="2">
        <v>45701</v>
      </c>
      <c r="E170" s="1" t="s">
        <v>554</v>
      </c>
    </row>
    <row r="171" spans="1:5" x14ac:dyDescent="0.35">
      <c r="A171" s="1" t="s">
        <v>718</v>
      </c>
      <c r="B171" s="1" t="s">
        <v>197</v>
      </c>
      <c r="C171">
        <v>790</v>
      </c>
      <c r="D171" s="2">
        <v>45741</v>
      </c>
      <c r="E171" s="1" t="s">
        <v>554</v>
      </c>
    </row>
    <row r="172" spans="1:5" x14ac:dyDescent="0.35">
      <c r="A172" s="1" t="s">
        <v>719</v>
      </c>
      <c r="B172" s="1" t="s">
        <v>198</v>
      </c>
      <c r="C172">
        <v>1689</v>
      </c>
      <c r="D172" s="2">
        <v>45764</v>
      </c>
      <c r="E172" s="1" t="s">
        <v>563</v>
      </c>
    </row>
    <row r="173" spans="1:5" x14ac:dyDescent="0.35">
      <c r="A173" s="1" t="s">
        <v>720</v>
      </c>
      <c r="B173" s="1" t="s">
        <v>199</v>
      </c>
      <c r="C173">
        <v>1108</v>
      </c>
      <c r="D173" s="2">
        <v>45773</v>
      </c>
      <c r="E173" s="1" t="s">
        <v>563</v>
      </c>
    </row>
    <row r="174" spans="1:5" x14ac:dyDescent="0.35">
      <c r="A174" s="1" t="s">
        <v>721</v>
      </c>
      <c r="B174" s="1" t="s">
        <v>200</v>
      </c>
      <c r="C174">
        <v>763</v>
      </c>
      <c r="D174" s="2">
        <v>45667</v>
      </c>
      <c r="E174" s="1" t="s">
        <v>556</v>
      </c>
    </row>
    <row r="175" spans="1:5" x14ac:dyDescent="0.35">
      <c r="A175" s="1" t="s">
        <v>722</v>
      </c>
      <c r="B175" s="1" t="s">
        <v>201</v>
      </c>
      <c r="C175">
        <v>1731</v>
      </c>
      <c r="D175" s="2">
        <v>45698</v>
      </c>
      <c r="E175" s="1" t="s">
        <v>556</v>
      </c>
    </row>
    <row r="176" spans="1:5" x14ac:dyDescent="0.35">
      <c r="A176" s="1" t="s">
        <v>723</v>
      </c>
      <c r="B176" s="1" t="s">
        <v>202</v>
      </c>
      <c r="C176">
        <v>1886</v>
      </c>
      <c r="D176" s="2">
        <v>45719</v>
      </c>
      <c r="E176" s="1" t="s">
        <v>554</v>
      </c>
    </row>
    <row r="177" spans="1:5" x14ac:dyDescent="0.35">
      <c r="A177" s="1" t="s">
        <v>724</v>
      </c>
      <c r="B177" s="1" t="s">
        <v>203</v>
      </c>
      <c r="C177">
        <v>1217</v>
      </c>
      <c r="D177" s="2">
        <v>45718</v>
      </c>
      <c r="E177" s="1" t="s">
        <v>563</v>
      </c>
    </row>
    <row r="178" spans="1:5" x14ac:dyDescent="0.35">
      <c r="A178" s="1" t="s">
        <v>725</v>
      </c>
      <c r="B178" s="1" t="s">
        <v>204</v>
      </c>
      <c r="C178">
        <v>514</v>
      </c>
      <c r="D178" s="2">
        <v>45753</v>
      </c>
      <c r="E178" s="1" t="s">
        <v>547</v>
      </c>
    </row>
    <row r="179" spans="1:5" x14ac:dyDescent="0.35">
      <c r="A179" s="1" t="s">
        <v>726</v>
      </c>
      <c r="B179" s="1" t="s">
        <v>205</v>
      </c>
      <c r="C179">
        <v>1453</v>
      </c>
      <c r="D179" s="2">
        <v>45741</v>
      </c>
      <c r="E179" s="1" t="s">
        <v>545</v>
      </c>
    </row>
    <row r="180" spans="1:5" x14ac:dyDescent="0.35">
      <c r="A180" s="1" t="s">
        <v>727</v>
      </c>
      <c r="B180" s="1" t="s">
        <v>206</v>
      </c>
      <c r="C180">
        <v>860</v>
      </c>
      <c r="D180" s="2">
        <v>45658</v>
      </c>
      <c r="E180" s="1" t="s">
        <v>563</v>
      </c>
    </row>
    <row r="181" spans="1:5" x14ac:dyDescent="0.35">
      <c r="A181" s="1" t="s">
        <v>728</v>
      </c>
      <c r="B181" s="1" t="s">
        <v>207</v>
      </c>
      <c r="C181">
        <v>1281</v>
      </c>
      <c r="D181" s="2">
        <v>45692</v>
      </c>
      <c r="E181" s="1" t="s">
        <v>563</v>
      </c>
    </row>
    <row r="182" spans="1:5" x14ac:dyDescent="0.35">
      <c r="A182" s="1" t="s">
        <v>729</v>
      </c>
      <c r="B182" s="1" t="s">
        <v>208</v>
      </c>
      <c r="C182">
        <v>609</v>
      </c>
      <c r="D182" s="2">
        <v>45674</v>
      </c>
      <c r="E182" s="1" t="s">
        <v>556</v>
      </c>
    </row>
    <row r="183" spans="1:5" x14ac:dyDescent="0.35">
      <c r="A183" s="1" t="s">
        <v>730</v>
      </c>
      <c r="B183" s="1" t="s">
        <v>209</v>
      </c>
      <c r="C183">
        <v>1218</v>
      </c>
      <c r="D183" s="2">
        <v>45674</v>
      </c>
      <c r="E183" s="1" t="s">
        <v>545</v>
      </c>
    </row>
    <row r="184" spans="1:5" x14ac:dyDescent="0.35">
      <c r="A184" s="1" t="s">
        <v>731</v>
      </c>
      <c r="B184" s="1" t="s">
        <v>210</v>
      </c>
      <c r="C184">
        <v>1191</v>
      </c>
      <c r="D184" s="2">
        <v>45667</v>
      </c>
      <c r="E184" s="1" t="s">
        <v>554</v>
      </c>
    </row>
    <row r="185" spans="1:5" x14ac:dyDescent="0.35">
      <c r="A185" s="1" t="s">
        <v>732</v>
      </c>
      <c r="B185" s="1" t="s">
        <v>211</v>
      </c>
      <c r="C185">
        <v>494</v>
      </c>
      <c r="D185" s="2">
        <v>45671</v>
      </c>
      <c r="E185" s="1" t="s">
        <v>563</v>
      </c>
    </row>
    <row r="186" spans="1:5" x14ac:dyDescent="0.35">
      <c r="A186" s="1" t="s">
        <v>733</v>
      </c>
      <c r="B186" s="1" t="s">
        <v>212</v>
      </c>
      <c r="C186">
        <v>981</v>
      </c>
      <c r="D186" s="2">
        <v>45759</v>
      </c>
      <c r="E186" s="1" t="s">
        <v>554</v>
      </c>
    </row>
    <row r="187" spans="1:5" x14ac:dyDescent="0.35">
      <c r="A187" s="1" t="s">
        <v>734</v>
      </c>
      <c r="B187" s="1" t="s">
        <v>213</v>
      </c>
      <c r="C187">
        <v>1588</v>
      </c>
      <c r="D187" s="2">
        <v>45658</v>
      </c>
      <c r="E187" s="1" t="s">
        <v>563</v>
      </c>
    </row>
    <row r="188" spans="1:5" x14ac:dyDescent="0.35">
      <c r="A188" s="1" t="s">
        <v>735</v>
      </c>
      <c r="B188" s="1" t="s">
        <v>214</v>
      </c>
      <c r="C188">
        <v>662</v>
      </c>
      <c r="D188" s="2">
        <v>45669</v>
      </c>
      <c r="E188" s="1" t="s">
        <v>554</v>
      </c>
    </row>
    <row r="189" spans="1:5" x14ac:dyDescent="0.35">
      <c r="A189" s="1" t="s">
        <v>736</v>
      </c>
      <c r="B189" s="1" t="s">
        <v>215</v>
      </c>
      <c r="C189">
        <v>559</v>
      </c>
      <c r="D189" s="2">
        <v>45764</v>
      </c>
      <c r="E189" s="1" t="s">
        <v>545</v>
      </c>
    </row>
    <row r="190" spans="1:5" x14ac:dyDescent="0.35">
      <c r="A190" s="1" t="s">
        <v>737</v>
      </c>
      <c r="B190" s="1" t="s">
        <v>216</v>
      </c>
      <c r="C190">
        <v>1827</v>
      </c>
      <c r="D190" s="2">
        <v>45683</v>
      </c>
      <c r="E190" s="1" t="s">
        <v>556</v>
      </c>
    </row>
    <row r="191" spans="1:5" x14ac:dyDescent="0.35">
      <c r="A191" s="1" t="s">
        <v>738</v>
      </c>
      <c r="B191" s="1" t="s">
        <v>217</v>
      </c>
      <c r="C191">
        <v>1227</v>
      </c>
      <c r="D191" s="2">
        <v>45689</v>
      </c>
      <c r="E191" s="1" t="s">
        <v>545</v>
      </c>
    </row>
    <row r="192" spans="1:5" x14ac:dyDescent="0.35">
      <c r="A192" s="1" t="s">
        <v>739</v>
      </c>
      <c r="B192" s="1" t="s">
        <v>218</v>
      </c>
      <c r="C192">
        <v>1173</v>
      </c>
      <c r="D192" s="2">
        <v>45738</v>
      </c>
      <c r="E192" s="1" t="s">
        <v>547</v>
      </c>
    </row>
    <row r="193" spans="1:5" x14ac:dyDescent="0.35">
      <c r="A193" s="1" t="s">
        <v>740</v>
      </c>
      <c r="B193" s="1" t="s">
        <v>219</v>
      </c>
      <c r="C193">
        <v>498</v>
      </c>
      <c r="D193" s="2">
        <v>45694</v>
      </c>
      <c r="E193" s="1" t="s">
        <v>556</v>
      </c>
    </row>
    <row r="194" spans="1:5" x14ac:dyDescent="0.35">
      <c r="A194" s="1" t="s">
        <v>741</v>
      </c>
      <c r="B194" s="1" t="s">
        <v>220</v>
      </c>
      <c r="C194">
        <v>1023</v>
      </c>
      <c r="D194" s="2">
        <v>45741</v>
      </c>
      <c r="E194" s="1" t="s">
        <v>545</v>
      </c>
    </row>
    <row r="195" spans="1:5" x14ac:dyDescent="0.35">
      <c r="A195" s="1" t="s">
        <v>742</v>
      </c>
      <c r="B195" s="1" t="s">
        <v>221</v>
      </c>
      <c r="C195">
        <v>2227</v>
      </c>
      <c r="D195" s="2">
        <v>45750</v>
      </c>
      <c r="E195" s="1" t="s">
        <v>547</v>
      </c>
    </row>
    <row r="196" spans="1:5" x14ac:dyDescent="0.35">
      <c r="A196" s="1" t="s">
        <v>743</v>
      </c>
      <c r="B196" s="1" t="s">
        <v>222</v>
      </c>
      <c r="C196">
        <v>1266</v>
      </c>
      <c r="D196" s="2">
        <v>45680</v>
      </c>
      <c r="E196" s="1" t="s">
        <v>563</v>
      </c>
    </row>
    <row r="197" spans="1:5" x14ac:dyDescent="0.35">
      <c r="A197" s="1" t="s">
        <v>744</v>
      </c>
      <c r="B197" s="1" t="s">
        <v>223</v>
      </c>
      <c r="C197">
        <v>1564</v>
      </c>
      <c r="D197" s="2">
        <v>45677</v>
      </c>
      <c r="E197" s="1" t="s">
        <v>563</v>
      </c>
    </row>
    <row r="198" spans="1:5" x14ac:dyDescent="0.35">
      <c r="A198" s="1" t="s">
        <v>745</v>
      </c>
      <c r="B198" s="1" t="s">
        <v>224</v>
      </c>
      <c r="C198">
        <v>1278</v>
      </c>
      <c r="D198" s="2">
        <v>45769</v>
      </c>
      <c r="E198" s="1" t="s">
        <v>554</v>
      </c>
    </row>
    <row r="199" spans="1:5" x14ac:dyDescent="0.35">
      <c r="A199" s="1" t="s">
        <v>746</v>
      </c>
      <c r="B199" s="1" t="s">
        <v>225</v>
      </c>
      <c r="C199">
        <v>859</v>
      </c>
      <c r="D199" s="2">
        <v>45706</v>
      </c>
      <c r="E199" s="1" t="s">
        <v>556</v>
      </c>
    </row>
    <row r="200" spans="1:5" x14ac:dyDescent="0.35">
      <c r="A200" s="1" t="s">
        <v>747</v>
      </c>
      <c r="B200" s="1" t="s">
        <v>226</v>
      </c>
      <c r="C200">
        <v>958</v>
      </c>
      <c r="D200" s="2">
        <v>45675</v>
      </c>
      <c r="E200" s="1" t="s">
        <v>563</v>
      </c>
    </row>
    <row r="201" spans="1:5" x14ac:dyDescent="0.35">
      <c r="A201" s="1" t="s">
        <v>748</v>
      </c>
      <c r="B201" s="1" t="s">
        <v>227</v>
      </c>
      <c r="C201">
        <v>1435</v>
      </c>
      <c r="D201" s="2">
        <v>45763</v>
      </c>
      <c r="E201" s="1" t="s">
        <v>556</v>
      </c>
    </row>
    <row r="202" spans="1:5" x14ac:dyDescent="0.35">
      <c r="A202" s="1" t="s">
        <v>749</v>
      </c>
      <c r="B202" s="1" t="s">
        <v>228</v>
      </c>
      <c r="C202">
        <v>275</v>
      </c>
      <c r="D202" s="2">
        <v>45702</v>
      </c>
      <c r="E202" s="1" t="s">
        <v>563</v>
      </c>
    </row>
    <row r="203" spans="1:5" x14ac:dyDescent="0.35">
      <c r="A203" s="1" t="s">
        <v>750</v>
      </c>
      <c r="B203" s="1" t="s">
        <v>229</v>
      </c>
      <c r="C203">
        <v>1365</v>
      </c>
      <c r="D203" s="2">
        <v>45737</v>
      </c>
      <c r="E203" s="1" t="s">
        <v>554</v>
      </c>
    </row>
    <row r="204" spans="1:5" x14ac:dyDescent="0.35">
      <c r="A204" s="1" t="s">
        <v>751</v>
      </c>
      <c r="B204" s="1" t="s">
        <v>230</v>
      </c>
      <c r="C204">
        <v>1566</v>
      </c>
      <c r="D204" s="2">
        <v>45706</v>
      </c>
      <c r="E204" s="1" t="s">
        <v>545</v>
      </c>
    </row>
    <row r="205" spans="1:5" x14ac:dyDescent="0.35">
      <c r="A205" s="1" t="s">
        <v>752</v>
      </c>
      <c r="B205" s="1" t="s">
        <v>231</v>
      </c>
      <c r="C205">
        <v>2150</v>
      </c>
      <c r="D205" s="2">
        <v>45727</v>
      </c>
      <c r="E205" s="1" t="s">
        <v>554</v>
      </c>
    </row>
    <row r="206" spans="1:5" x14ac:dyDescent="0.35">
      <c r="A206" s="1" t="s">
        <v>753</v>
      </c>
      <c r="B206" s="1" t="s">
        <v>232</v>
      </c>
      <c r="C206">
        <v>1226</v>
      </c>
      <c r="D206" s="2">
        <v>45677</v>
      </c>
      <c r="E206" s="1" t="s">
        <v>547</v>
      </c>
    </row>
    <row r="207" spans="1:5" x14ac:dyDescent="0.35">
      <c r="A207" s="1" t="s">
        <v>754</v>
      </c>
      <c r="B207" s="1" t="s">
        <v>233</v>
      </c>
      <c r="C207">
        <v>541</v>
      </c>
      <c r="D207" s="2">
        <v>45668</v>
      </c>
      <c r="E207" s="1" t="s">
        <v>563</v>
      </c>
    </row>
    <row r="208" spans="1:5" x14ac:dyDescent="0.35">
      <c r="A208" s="1" t="s">
        <v>755</v>
      </c>
      <c r="B208" s="1" t="s">
        <v>234</v>
      </c>
      <c r="C208">
        <v>1431</v>
      </c>
      <c r="D208" s="2">
        <v>45735</v>
      </c>
      <c r="E208" s="1" t="s">
        <v>547</v>
      </c>
    </row>
    <row r="209" spans="1:5" x14ac:dyDescent="0.35">
      <c r="A209" s="1" t="s">
        <v>756</v>
      </c>
      <c r="B209" s="1" t="s">
        <v>235</v>
      </c>
      <c r="C209">
        <v>972</v>
      </c>
      <c r="D209" s="2">
        <v>45686</v>
      </c>
      <c r="E209" s="1" t="s">
        <v>547</v>
      </c>
    </row>
    <row r="210" spans="1:5" x14ac:dyDescent="0.35">
      <c r="A210" s="1" t="s">
        <v>757</v>
      </c>
      <c r="B210" s="1" t="s">
        <v>236</v>
      </c>
      <c r="C210">
        <v>805</v>
      </c>
      <c r="D210" s="2">
        <v>45702</v>
      </c>
      <c r="E210" s="1" t="s">
        <v>556</v>
      </c>
    </row>
    <row r="211" spans="1:5" x14ac:dyDescent="0.35">
      <c r="A211" s="1" t="s">
        <v>758</v>
      </c>
      <c r="B211" s="1" t="s">
        <v>237</v>
      </c>
      <c r="C211">
        <v>1771</v>
      </c>
      <c r="D211" s="2">
        <v>45711</v>
      </c>
      <c r="E211" s="1" t="s">
        <v>563</v>
      </c>
    </row>
    <row r="212" spans="1:5" x14ac:dyDescent="0.35">
      <c r="A212" s="1" t="s">
        <v>759</v>
      </c>
      <c r="B212" s="1" t="s">
        <v>238</v>
      </c>
      <c r="C212">
        <v>1868</v>
      </c>
      <c r="D212" s="2">
        <v>45743</v>
      </c>
      <c r="E212" s="1" t="s">
        <v>547</v>
      </c>
    </row>
    <row r="213" spans="1:5" x14ac:dyDescent="0.35">
      <c r="A213" s="1" t="s">
        <v>760</v>
      </c>
      <c r="B213" s="1" t="s">
        <v>239</v>
      </c>
      <c r="C213">
        <v>1875</v>
      </c>
      <c r="D213" s="2">
        <v>45733</v>
      </c>
      <c r="E213" s="1" t="s">
        <v>545</v>
      </c>
    </row>
    <row r="214" spans="1:5" x14ac:dyDescent="0.35">
      <c r="A214" s="1" t="s">
        <v>761</v>
      </c>
      <c r="B214" s="1" t="s">
        <v>240</v>
      </c>
      <c r="C214">
        <v>1089</v>
      </c>
      <c r="D214" s="2">
        <v>45769</v>
      </c>
      <c r="E214" s="1" t="s">
        <v>547</v>
      </c>
    </row>
    <row r="215" spans="1:5" x14ac:dyDescent="0.35">
      <c r="A215" s="1" t="s">
        <v>762</v>
      </c>
      <c r="B215" s="1" t="s">
        <v>241</v>
      </c>
      <c r="C215">
        <v>1803</v>
      </c>
      <c r="D215" s="2">
        <v>45721</v>
      </c>
      <c r="E215" s="1" t="s">
        <v>545</v>
      </c>
    </row>
    <row r="216" spans="1:5" x14ac:dyDescent="0.35">
      <c r="A216" s="1" t="s">
        <v>763</v>
      </c>
      <c r="B216" s="1" t="s">
        <v>242</v>
      </c>
      <c r="C216">
        <v>849</v>
      </c>
      <c r="D216" s="2">
        <v>45689</v>
      </c>
      <c r="E216" s="1" t="s">
        <v>556</v>
      </c>
    </row>
    <row r="217" spans="1:5" x14ac:dyDescent="0.35">
      <c r="A217" s="1" t="s">
        <v>764</v>
      </c>
      <c r="B217" s="1" t="s">
        <v>243</v>
      </c>
      <c r="C217">
        <v>1471</v>
      </c>
      <c r="D217" s="2">
        <v>45743</v>
      </c>
      <c r="E217" s="1" t="s">
        <v>547</v>
      </c>
    </row>
    <row r="218" spans="1:5" x14ac:dyDescent="0.35">
      <c r="A218" s="1" t="s">
        <v>765</v>
      </c>
      <c r="B218" s="1" t="s">
        <v>244</v>
      </c>
      <c r="C218">
        <v>692</v>
      </c>
      <c r="D218" s="2">
        <v>45744</v>
      </c>
      <c r="E218" s="1" t="s">
        <v>554</v>
      </c>
    </row>
    <row r="219" spans="1:5" x14ac:dyDescent="0.35">
      <c r="A219" s="1" t="s">
        <v>766</v>
      </c>
      <c r="B219" s="1" t="s">
        <v>245</v>
      </c>
      <c r="C219">
        <v>1855</v>
      </c>
      <c r="D219" s="2">
        <v>45775</v>
      </c>
      <c r="E219" s="1" t="s">
        <v>556</v>
      </c>
    </row>
    <row r="220" spans="1:5" x14ac:dyDescent="0.35">
      <c r="A220" s="1" t="s">
        <v>767</v>
      </c>
      <c r="B220" s="1" t="s">
        <v>246</v>
      </c>
      <c r="C220">
        <v>365</v>
      </c>
      <c r="D220" s="2">
        <v>45664</v>
      </c>
      <c r="E220" s="1" t="s">
        <v>545</v>
      </c>
    </row>
    <row r="221" spans="1:5" x14ac:dyDescent="0.35">
      <c r="A221" s="1" t="s">
        <v>768</v>
      </c>
      <c r="B221" s="1" t="s">
        <v>247</v>
      </c>
      <c r="C221">
        <v>1484</v>
      </c>
      <c r="D221" s="2">
        <v>45749</v>
      </c>
      <c r="E221" s="1" t="s">
        <v>556</v>
      </c>
    </row>
    <row r="222" spans="1:5" x14ac:dyDescent="0.35">
      <c r="A222" s="1" t="s">
        <v>769</v>
      </c>
      <c r="B222" s="1" t="s">
        <v>248</v>
      </c>
      <c r="C222">
        <v>1175</v>
      </c>
      <c r="D222" s="2">
        <v>45756</v>
      </c>
      <c r="E222" s="1" t="s">
        <v>547</v>
      </c>
    </row>
    <row r="223" spans="1:5" x14ac:dyDescent="0.35">
      <c r="A223" s="1" t="s">
        <v>770</v>
      </c>
      <c r="B223" s="1" t="s">
        <v>249</v>
      </c>
      <c r="C223">
        <v>1131</v>
      </c>
      <c r="D223" s="2">
        <v>45749</v>
      </c>
      <c r="E223" s="1" t="s">
        <v>563</v>
      </c>
    </row>
    <row r="224" spans="1:5" x14ac:dyDescent="0.35">
      <c r="A224" s="1" t="s">
        <v>771</v>
      </c>
      <c r="B224" s="1" t="s">
        <v>250</v>
      </c>
      <c r="C224">
        <v>459</v>
      </c>
      <c r="D224" s="2">
        <v>45671</v>
      </c>
      <c r="E224" s="1" t="s">
        <v>563</v>
      </c>
    </row>
    <row r="225" spans="1:5" x14ac:dyDescent="0.35">
      <c r="A225" s="1" t="s">
        <v>772</v>
      </c>
      <c r="B225" s="1" t="s">
        <v>251</v>
      </c>
      <c r="C225">
        <v>1637</v>
      </c>
      <c r="D225" s="2">
        <v>45768</v>
      </c>
      <c r="E225" s="1" t="s">
        <v>545</v>
      </c>
    </row>
    <row r="226" spans="1:5" x14ac:dyDescent="0.35">
      <c r="A226" s="1" t="s">
        <v>773</v>
      </c>
      <c r="B226" s="1" t="s">
        <v>252</v>
      </c>
      <c r="C226">
        <v>1413</v>
      </c>
      <c r="D226" s="2">
        <v>45755</v>
      </c>
      <c r="E226" s="1" t="s">
        <v>545</v>
      </c>
    </row>
    <row r="227" spans="1:5" x14ac:dyDescent="0.35">
      <c r="A227" s="1" t="s">
        <v>774</v>
      </c>
      <c r="B227" s="1" t="s">
        <v>253</v>
      </c>
      <c r="C227">
        <v>2288</v>
      </c>
      <c r="D227" s="2">
        <v>45757</v>
      </c>
      <c r="E227" s="1" t="s">
        <v>563</v>
      </c>
    </row>
    <row r="228" spans="1:5" x14ac:dyDescent="0.35">
      <c r="A228" s="1" t="s">
        <v>775</v>
      </c>
      <c r="B228" s="1" t="s">
        <v>254</v>
      </c>
      <c r="C228">
        <v>1449</v>
      </c>
      <c r="D228" s="2">
        <v>45710</v>
      </c>
      <c r="E228" s="1" t="s">
        <v>545</v>
      </c>
    </row>
    <row r="229" spans="1:5" x14ac:dyDescent="0.35">
      <c r="A229" s="1" t="s">
        <v>776</v>
      </c>
      <c r="B229" s="1" t="s">
        <v>255</v>
      </c>
      <c r="C229">
        <v>2000</v>
      </c>
      <c r="D229" s="2">
        <v>45749</v>
      </c>
      <c r="E229" s="1" t="s">
        <v>556</v>
      </c>
    </row>
    <row r="230" spans="1:5" x14ac:dyDescent="0.35">
      <c r="A230" s="1" t="s">
        <v>777</v>
      </c>
      <c r="B230" s="1" t="s">
        <v>256</v>
      </c>
      <c r="C230">
        <v>1212</v>
      </c>
      <c r="D230" s="2">
        <v>45756</v>
      </c>
      <c r="E230" s="1" t="s">
        <v>554</v>
      </c>
    </row>
    <row r="231" spans="1:5" x14ac:dyDescent="0.35">
      <c r="A231" s="1" t="s">
        <v>778</v>
      </c>
      <c r="B231" s="1" t="s">
        <v>257</v>
      </c>
      <c r="C231">
        <v>1470</v>
      </c>
      <c r="D231" s="2">
        <v>45704</v>
      </c>
      <c r="E231" s="1" t="s">
        <v>554</v>
      </c>
    </row>
    <row r="232" spans="1:5" x14ac:dyDescent="0.35">
      <c r="A232" s="1" t="s">
        <v>779</v>
      </c>
      <c r="B232" s="1" t="s">
        <v>258</v>
      </c>
      <c r="C232">
        <v>1333</v>
      </c>
      <c r="D232" s="2">
        <v>45696</v>
      </c>
      <c r="E232" s="1" t="s">
        <v>556</v>
      </c>
    </row>
    <row r="233" spans="1:5" x14ac:dyDescent="0.35">
      <c r="A233" s="1" t="s">
        <v>780</v>
      </c>
      <c r="B233" s="1" t="s">
        <v>259</v>
      </c>
      <c r="C233">
        <v>1999</v>
      </c>
      <c r="D233" s="2">
        <v>45697</v>
      </c>
      <c r="E233" s="1" t="s">
        <v>554</v>
      </c>
    </row>
    <row r="234" spans="1:5" x14ac:dyDescent="0.35">
      <c r="A234" s="1" t="s">
        <v>781</v>
      </c>
      <c r="B234" s="1" t="s">
        <v>260</v>
      </c>
      <c r="C234">
        <v>2010</v>
      </c>
      <c r="D234" s="2">
        <v>45701</v>
      </c>
      <c r="E234" s="1" t="s">
        <v>547</v>
      </c>
    </row>
    <row r="235" spans="1:5" x14ac:dyDescent="0.35">
      <c r="A235" s="1" t="s">
        <v>782</v>
      </c>
      <c r="B235" s="1" t="s">
        <v>261</v>
      </c>
      <c r="C235">
        <v>2244</v>
      </c>
      <c r="D235" s="2">
        <v>45697</v>
      </c>
      <c r="E235" s="1" t="s">
        <v>556</v>
      </c>
    </row>
    <row r="236" spans="1:5" x14ac:dyDescent="0.35">
      <c r="A236" s="1" t="s">
        <v>783</v>
      </c>
      <c r="B236" s="1" t="s">
        <v>262</v>
      </c>
      <c r="C236">
        <v>1082</v>
      </c>
      <c r="D236" s="2">
        <v>45763</v>
      </c>
      <c r="E236" s="1" t="s">
        <v>545</v>
      </c>
    </row>
    <row r="237" spans="1:5" x14ac:dyDescent="0.35">
      <c r="A237" s="1" t="s">
        <v>784</v>
      </c>
      <c r="B237" s="1" t="s">
        <v>263</v>
      </c>
      <c r="C237">
        <v>1694</v>
      </c>
      <c r="D237" s="2">
        <v>45686</v>
      </c>
      <c r="E237" s="1" t="s">
        <v>556</v>
      </c>
    </row>
    <row r="238" spans="1:5" x14ac:dyDescent="0.35">
      <c r="A238" s="1" t="s">
        <v>785</v>
      </c>
      <c r="B238" s="1" t="s">
        <v>264</v>
      </c>
      <c r="C238">
        <v>1208</v>
      </c>
      <c r="D238" s="2">
        <v>45660</v>
      </c>
      <c r="E238" s="1" t="s">
        <v>563</v>
      </c>
    </row>
    <row r="239" spans="1:5" x14ac:dyDescent="0.35">
      <c r="A239" s="1" t="s">
        <v>786</v>
      </c>
      <c r="B239" s="1" t="s">
        <v>265</v>
      </c>
      <c r="C239">
        <v>1970</v>
      </c>
      <c r="D239" s="2">
        <v>45692</v>
      </c>
      <c r="E239" s="1" t="s">
        <v>545</v>
      </c>
    </row>
    <row r="240" spans="1:5" x14ac:dyDescent="0.35">
      <c r="A240" s="1" t="s">
        <v>787</v>
      </c>
      <c r="B240" s="1" t="s">
        <v>266</v>
      </c>
      <c r="C240">
        <v>1997</v>
      </c>
      <c r="D240" s="2">
        <v>45679</v>
      </c>
      <c r="E240" s="1" t="s">
        <v>563</v>
      </c>
    </row>
    <row r="241" spans="1:5" x14ac:dyDescent="0.35">
      <c r="A241" s="1" t="s">
        <v>788</v>
      </c>
      <c r="B241" s="1" t="s">
        <v>267</v>
      </c>
      <c r="C241">
        <v>1374</v>
      </c>
      <c r="D241" s="2">
        <v>45706</v>
      </c>
      <c r="E241" s="1" t="s">
        <v>545</v>
      </c>
    </row>
    <row r="242" spans="1:5" x14ac:dyDescent="0.35">
      <c r="A242" s="1" t="s">
        <v>789</v>
      </c>
      <c r="B242" s="1" t="s">
        <v>268</v>
      </c>
      <c r="C242">
        <v>247</v>
      </c>
      <c r="D242" s="2">
        <v>45759</v>
      </c>
      <c r="E242" s="1" t="s">
        <v>554</v>
      </c>
    </row>
    <row r="243" spans="1:5" x14ac:dyDescent="0.35">
      <c r="A243" s="1" t="s">
        <v>790</v>
      </c>
      <c r="B243" s="1" t="s">
        <v>269</v>
      </c>
      <c r="C243">
        <v>651</v>
      </c>
      <c r="D243" s="2">
        <v>45660</v>
      </c>
      <c r="E243" s="1" t="s">
        <v>556</v>
      </c>
    </row>
    <row r="244" spans="1:5" x14ac:dyDescent="0.35">
      <c r="A244" s="1" t="s">
        <v>791</v>
      </c>
      <c r="B244" s="1" t="s">
        <v>270</v>
      </c>
      <c r="C244">
        <v>1198</v>
      </c>
      <c r="D244" s="2">
        <v>45664</v>
      </c>
      <c r="E244" s="1" t="s">
        <v>547</v>
      </c>
    </row>
    <row r="245" spans="1:5" x14ac:dyDescent="0.35">
      <c r="A245" s="1" t="s">
        <v>792</v>
      </c>
      <c r="B245" s="1" t="s">
        <v>271</v>
      </c>
      <c r="C245">
        <v>560</v>
      </c>
      <c r="D245" s="2">
        <v>45719</v>
      </c>
      <c r="E245" s="1" t="s">
        <v>545</v>
      </c>
    </row>
    <row r="246" spans="1:5" x14ac:dyDescent="0.35">
      <c r="A246" s="1" t="s">
        <v>793</v>
      </c>
      <c r="B246" s="1" t="s">
        <v>272</v>
      </c>
      <c r="C246">
        <v>2192</v>
      </c>
      <c r="D246" s="2">
        <v>45728</v>
      </c>
      <c r="E246" s="1" t="s">
        <v>545</v>
      </c>
    </row>
    <row r="247" spans="1:5" x14ac:dyDescent="0.35">
      <c r="A247" s="1" t="s">
        <v>794</v>
      </c>
      <c r="B247" s="1" t="s">
        <v>273</v>
      </c>
      <c r="C247">
        <v>2086</v>
      </c>
      <c r="D247" s="2">
        <v>45757</v>
      </c>
      <c r="E247" s="1" t="s">
        <v>563</v>
      </c>
    </row>
    <row r="248" spans="1:5" x14ac:dyDescent="0.35">
      <c r="A248" s="1" t="s">
        <v>795</v>
      </c>
      <c r="B248" s="1" t="s">
        <v>274</v>
      </c>
      <c r="C248">
        <v>1695</v>
      </c>
      <c r="D248" s="2">
        <v>45740</v>
      </c>
      <c r="E248" s="1" t="s">
        <v>554</v>
      </c>
    </row>
    <row r="249" spans="1:5" x14ac:dyDescent="0.35">
      <c r="A249" s="1" t="s">
        <v>796</v>
      </c>
      <c r="B249" s="1" t="s">
        <v>275</v>
      </c>
      <c r="C249">
        <v>1624</v>
      </c>
      <c r="D249" s="2">
        <v>45694</v>
      </c>
      <c r="E249" s="1" t="s">
        <v>563</v>
      </c>
    </row>
    <row r="250" spans="1:5" x14ac:dyDescent="0.35">
      <c r="A250" s="1" t="s">
        <v>797</v>
      </c>
      <c r="B250" s="1" t="s">
        <v>276</v>
      </c>
      <c r="C250">
        <v>1989</v>
      </c>
      <c r="D250" s="2">
        <v>45662</v>
      </c>
      <c r="E250" s="1" t="s">
        <v>563</v>
      </c>
    </row>
    <row r="251" spans="1:5" x14ac:dyDescent="0.35">
      <c r="A251" s="1" t="s">
        <v>798</v>
      </c>
      <c r="B251" s="1" t="s">
        <v>277</v>
      </c>
      <c r="C251">
        <v>1477</v>
      </c>
      <c r="D251" s="2">
        <v>45661</v>
      </c>
      <c r="E251" s="1" t="s">
        <v>554</v>
      </c>
    </row>
    <row r="252" spans="1:5" x14ac:dyDescent="0.35">
      <c r="A252" s="1" t="s">
        <v>799</v>
      </c>
      <c r="B252" s="1" t="s">
        <v>278</v>
      </c>
      <c r="C252">
        <v>901</v>
      </c>
      <c r="D252" s="2">
        <v>45669</v>
      </c>
      <c r="E252" s="1" t="s">
        <v>547</v>
      </c>
    </row>
    <row r="253" spans="1:5" x14ac:dyDescent="0.35">
      <c r="A253" s="1" t="s">
        <v>800</v>
      </c>
      <c r="B253" s="1" t="s">
        <v>279</v>
      </c>
      <c r="C253">
        <v>1268</v>
      </c>
      <c r="D253" s="2">
        <v>45729</v>
      </c>
      <c r="E253" s="1" t="s">
        <v>563</v>
      </c>
    </row>
    <row r="254" spans="1:5" x14ac:dyDescent="0.35">
      <c r="A254" s="1" t="s">
        <v>801</v>
      </c>
      <c r="B254" s="1" t="s">
        <v>280</v>
      </c>
      <c r="C254">
        <v>1904</v>
      </c>
      <c r="D254" s="2">
        <v>45683</v>
      </c>
      <c r="E254" s="1" t="s">
        <v>563</v>
      </c>
    </row>
    <row r="255" spans="1:5" x14ac:dyDescent="0.35">
      <c r="A255" s="1" t="s">
        <v>802</v>
      </c>
      <c r="B255" s="1" t="s">
        <v>281</v>
      </c>
      <c r="C255">
        <v>1471</v>
      </c>
      <c r="D255" s="2">
        <v>45675</v>
      </c>
      <c r="E255" s="1" t="s">
        <v>545</v>
      </c>
    </row>
    <row r="256" spans="1:5" x14ac:dyDescent="0.35">
      <c r="A256" s="1" t="s">
        <v>803</v>
      </c>
      <c r="B256" s="1" t="s">
        <v>282</v>
      </c>
      <c r="C256">
        <v>1518</v>
      </c>
      <c r="D256" s="2">
        <v>45754</v>
      </c>
      <c r="E256" s="1" t="s">
        <v>554</v>
      </c>
    </row>
    <row r="257" spans="1:5" x14ac:dyDescent="0.35">
      <c r="A257" s="1" t="s">
        <v>804</v>
      </c>
      <c r="B257" s="1" t="s">
        <v>283</v>
      </c>
      <c r="C257">
        <v>1423</v>
      </c>
      <c r="D257" s="2">
        <v>45715</v>
      </c>
      <c r="E257" s="1" t="s">
        <v>556</v>
      </c>
    </row>
    <row r="258" spans="1:5" x14ac:dyDescent="0.35">
      <c r="A258" s="1" t="s">
        <v>805</v>
      </c>
      <c r="B258" s="1" t="s">
        <v>284</v>
      </c>
      <c r="C258">
        <v>1023</v>
      </c>
      <c r="D258" s="2">
        <v>45728</v>
      </c>
      <c r="E258" s="1" t="s">
        <v>547</v>
      </c>
    </row>
    <row r="259" spans="1:5" x14ac:dyDescent="0.35">
      <c r="A259" s="1" t="s">
        <v>806</v>
      </c>
      <c r="B259" s="1" t="s">
        <v>285</v>
      </c>
      <c r="C259">
        <v>1124</v>
      </c>
      <c r="D259" s="2">
        <v>45692</v>
      </c>
      <c r="E259" s="1" t="s">
        <v>547</v>
      </c>
    </row>
    <row r="260" spans="1:5" x14ac:dyDescent="0.35">
      <c r="A260" s="1" t="s">
        <v>807</v>
      </c>
      <c r="B260" s="1" t="s">
        <v>286</v>
      </c>
      <c r="C260">
        <v>2091</v>
      </c>
      <c r="D260" s="2">
        <v>45703</v>
      </c>
      <c r="E260" s="1" t="s">
        <v>554</v>
      </c>
    </row>
    <row r="261" spans="1:5" x14ac:dyDescent="0.35">
      <c r="A261" s="1" t="s">
        <v>808</v>
      </c>
      <c r="B261" s="1" t="s">
        <v>287</v>
      </c>
      <c r="C261">
        <v>2306</v>
      </c>
      <c r="D261" s="2">
        <v>45760</v>
      </c>
      <c r="E261" s="1" t="s">
        <v>545</v>
      </c>
    </row>
    <row r="262" spans="1:5" x14ac:dyDescent="0.35">
      <c r="A262" s="1" t="s">
        <v>809</v>
      </c>
      <c r="B262" s="1" t="s">
        <v>288</v>
      </c>
      <c r="C262">
        <v>1565</v>
      </c>
      <c r="D262" s="2">
        <v>45765</v>
      </c>
      <c r="E262" s="1" t="s">
        <v>545</v>
      </c>
    </row>
    <row r="263" spans="1:5" x14ac:dyDescent="0.35">
      <c r="A263" s="1" t="s">
        <v>810</v>
      </c>
      <c r="B263" s="1" t="s">
        <v>289</v>
      </c>
      <c r="C263">
        <v>729</v>
      </c>
      <c r="D263" s="2">
        <v>45680</v>
      </c>
      <c r="E263" s="1" t="s">
        <v>554</v>
      </c>
    </row>
    <row r="264" spans="1:5" x14ac:dyDescent="0.35">
      <c r="A264" s="1" t="s">
        <v>811</v>
      </c>
      <c r="B264" s="1" t="s">
        <v>290</v>
      </c>
      <c r="C264">
        <v>552</v>
      </c>
      <c r="D264" s="2">
        <v>45754</v>
      </c>
      <c r="E264" s="1" t="s">
        <v>545</v>
      </c>
    </row>
    <row r="265" spans="1:5" x14ac:dyDescent="0.35">
      <c r="A265" s="1" t="s">
        <v>812</v>
      </c>
      <c r="B265" s="1" t="s">
        <v>291</v>
      </c>
      <c r="C265">
        <v>1781</v>
      </c>
      <c r="D265" s="2">
        <v>45710</v>
      </c>
      <c r="E265" s="1" t="s">
        <v>547</v>
      </c>
    </row>
    <row r="266" spans="1:5" x14ac:dyDescent="0.35">
      <c r="A266" s="1" t="s">
        <v>813</v>
      </c>
      <c r="B266" s="1" t="s">
        <v>292</v>
      </c>
      <c r="C266">
        <v>1906</v>
      </c>
      <c r="D266" s="2">
        <v>45673</v>
      </c>
      <c r="E266" s="1" t="s">
        <v>547</v>
      </c>
    </row>
    <row r="267" spans="1:5" x14ac:dyDescent="0.35">
      <c r="A267" s="1" t="s">
        <v>814</v>
      </c>
      <c r="B267" s="1" t="s">
        <v>293</v>
      </c>
      <c r="C267">
        <v>1343</v>
      </c>
      <c r="D267" s="2">
        <v>45733</v>
      </c>
      <c r="E267" s="1" t="s">
        <v>556</v>
      </c>
    </row>
    <row r="268" spans="1:5" x14ac:dyDescent="0.35">
      <c r="A268" s="1" t="s">
        <v>815</v>
      </c>
      <c r="B268" s="1" t="s">
        <v>294</v>
      </c>
      <c r="C268">
        <v>810</v>
      </c>
      <c r="D268" s="2">
        <v>45763</v>
      </c>
      <c r="E268" s="1" t="s">
        <v>554</v>
      </c>
    </row>
    <row r="269" spans="1:5" x14ac:dyDescent="0.35">
      <c r="A269" s="1" t="s">
        <v>816</v>
      </c>
      <c r="B269" s="1" t="s">
        <v>295</v>
      </c>
      <c r="C269">
        <v>1398</v>
      </c>
      <c r="D269" s="2">
        <v>45768</v>
      </c>
      <c r="E269" s="1" t="s">
        <v>563</v>
      </c>
    </row>
    <row r="270" spans="1:5" x14ac:dyDescent="0.35">
      <c r="A270" s="1" t="s">
        <v>817</v>
      </c>
      <c r="B270" s="1" t="s">
        <v>296</v>
      </c>
      <c r="C270">
        <v>2233</v>
      </c>
      <c r="D270" s="2">
        <v>45665</v>
      </c>
      <c r="E270" s="1" t="s">
        <v>563</v>
      </c>
    </row>
    <row r="271" spans="1:5" x14ac:dyDescent="0.35">
      <c r="A271" s="1" t="s">
        <v>818</v>
      </c>
      <c r="B271" s="1" t="s">
        <v>297</v>
      </c>
      <c r="C271">
        <v>1977</v>
      </c>
      <c r="D271" s="2">
        <v>45775</v>
      </c>
      <c r="E271" s="1" t="s">
        <v>556</v>
      </c>
    </row>
    <row r="272" spans="1:5" x14ac:dyDescent="0.35">
      <c r="A272" s="1" t="s">
        <v>819</v>
      </c>
      <c r="B272" s="1" t="s">
        <v>298</v>
      </c>
      <c r="C272">
        <v>1702</v>
      </c>
      <c r="D272" s="2">
        <v>45663</v>
      </c>
      <c r="E272" s="1" t="s">
        <v>556</v>
      </c>
    </row>
    <row r="273" spans="1:5" x14ac:dyDescent="0.35">
      <c r="A273" s="1" t="s">
        <v>820</v>
      </c>
      <c r="B273" s="1" t="s">
        <v>299</v>
      </c>
      <c r="C273">
        <v>940</v>
      </c>
      <c r="D273" s="2">
        <v>45698</v>
      </c>
      <c r="E273" s="1" t="s">
        <v>545</v>
      </c>
    </row>
    <row r="274" spans="1:5" x14ac:dyDescent="0.35">
      <c r="A274" s="1" t="s">
        <v>821</v>
      </c>
      <c r="B274" s="1" t="s">
        <v>300</v>
      </c>
      <c r="C274">
        <v>841</v>
      </c>
      <c r="D274" s="2">
        <v>45701</v>
      </c>
      <c r="E274" s="1" t="s">
        <v>556</v>
      </c>
    </row>
    <row r="275" spans="1:5" x14ac:dyDescent="0.35">
      <c r="A275" s="1" t="s">
        <v>822</v>
      </c>
      <c r="B275" s="1" t="s">
        <v>301</v>
      </c>
      <c r="C275">
        <v>1410</v>
      </c>
      <c r="D275" s="2">
        <v>45704</v>
      </c>
      <c r="E275" s="1" t="s">
        <v>556</v>
      </c>
    </row>
    <row r="276" spans="1:5" x14ac:dyDescent="0.35">
      <c r="A276" s="1" t="s">
        <v>823</v>
      </c>
      <c r="B276" s="1" t="s">
        <v>302</v>
      </c>
      <c r="C276">
        <v>1945</v>
      </c>
      <c r="D276" s="2">
        <v>45761</v>
      </c>
      <c r="E276" s="1" t="s">
        <v>563</v>
      </c>
    </row>
    <row r="277" spans="1:5" x14ac:dyDescent="0.35">
      <c r="A277" s="1" t="s">
        <v>824</v>
      </c>
      <c r="B277" s="1" t="s">
        <v>303</v>
      </c>
      <c r="C277">
        <v>1907</v>
      </c>
      <c r="D277" s="2">
        <v>45769</v>
      </c>
      <c r="E277" s="1" t="s">
        <v>545</v>
      </c>
    </row>
    <row r="278" spans="1:5" x14ac:dyDescent="0.35">
      <c r="A278" s="1" t="s">
        <v>825</v>
      </c>
      <c r="B278" s="1" t="s">
        <v>304</v>
      </c>
      <c r="C278">
        <v>621</v>
      </c>
      <c r="D278" s="2">
        <v>45754</v>
      </c>
      <c r="E278" s="1" t="s">
        <v>556</v>
      </c>
    </row>
    <row r="279" spans="1:5" x14ac:dyDescent="0.35">
      <c r="A279" s="1" t="s">
        <v>826</v>
      </c>
      <c r="B279" s="1" t="s">
        <v>305</v>
      </c>
      <c r="C279">
        <v>726</v>
      </c>
      <c r="D279" s="2">
        <v>45696</v>
      </c>
      <c r="E279" s="1" t="s">
        <v>556</v>
      </c>
    </row>
    <row r="280" spans="1:5" x14ac:dyDescent="0.35">
      <c r="A280" s="1" t="s">
        <v>827</v>
      </c>
      <c r="B280" s="1" t="s">
        <v>306</v>
      </c>
      <c r="C280">
        <v>655</v>
      </c>
      <c r="D280" s="2">
        <v>45713</v>
      </c>
      <c r="E280" s="1" t="s">
        <v>545</v>
      </c>
    </row>
    <row r="281" spans="1:5" x14ac:dyDescent="0.35">
      <c r="A281" s="1" t="s">
        <v>828</v>
      </c>
      <c r="B281" s="1" t="s">
        <v>307</v>
      </c>
      <c r="C281">
        <v>1322</v>
      </c>
      <c r="D281" s="2">
        <v>45763</v>
      </c>
      <c r="E281" s="1" t="s">
        <v>554</v>
      </c>
    </row>
    <row r="282" spans="1:5" x14ac:dyDescent="0.35">
      <c r="A282" s="1" t="s">
        <v>829</v>
      </c>
      <c r="B282" s="1" t="s">
        <v>308</v>
      </c>
      <c r="C282">
        <v>1029</v>
      </c>
      <c r="D282" s="2">
        <v>45698</v>
      </c>
      <c r="E282" s="1" t="s">
        <v>545</v>
      </c>
    </row>
    <row r="283" spans="1:5" x14ac:dyDescent="0.35">
      <c r="A283" s="1" t="s">
        <v>830</v>
      </c>
      <c r="B283" s="1" t="s">
        <v>309</v>
      </c>
      <c r="C283">
        <v>2062</v>
      </c>
      <c r="D283" s="2">
        <v>45714</v>
      </c>
      <c r="E283" s="1" t="s">
        <v>563</v>
      </c>
    </row>
    <row r="284" spans="1:5" x14ac:dyDescent="0.35">
      <c r="A284" s="1" t="s">
        <v>831</v>
      </c>
      <c r="B284" s="1" t="s">
        <v>310</v>
      </c>
      <c r="C284">
        <v>730</v>
      </c>
      <c r="D284" s="2">
        <v>45732</v>
      </c>
      <c r="E284" s="1" t="s">
        <v>554</v>
      </c>
    </row>
    <row r="285" spans="1:5" x14ac:dyDescent="0.35">
      <c r="A285" s="1" t="s">
        <v>832</v>
      </c>
      <c r="B285" s="1" t="s">
        <v>311</v>
      </c>
      <c r="C285">
        <v>1242</v>
      </c>
      <c r="D285" s="2">
        <v>45666</v>
      </c>
      <c r="E285" s="1" t="s">
        <v>547</v>
      </c>
    </row>
    <row r="286" spans="1:5" x14ac:dyDescent="0.35">
      <c r="A286" s="1" t="s">
        <v>833</v>
      </c>
      <c r="B286" s="1" t="s">
        <v>312</v>
      </c>
      <c r="C286">
        <v>1142</v>
      </c>
      <c r="D286" s="2">
        <v>45691</v>
      </c>
      <c r="E286" s="1" t="s">
        <v>545</v>
      </c>
    </row>
    <row r="287" spans="1:5" x14ac:dyDescent="0.35">
      <c r="A287" s="1" t="s">
        <v>834</v>
      </c>
      <c r="B287" s="1" t="s">
        <v>313</v>
      </c>
      <c r="C287">
        <v>1914</v>
      </c>
      <c r="D287" s="2">
        <v>45666</v>
      </c>
      <c r="E287" s="1" t="s">
        <v>563</v>
      </c>
    </row>
    <row r="288" spans="1:5" x14ac:dyDescent="0.35">
      <c r="A288" s="1" t="s">
        <v>835</v>
      </c>
      <c r="B288" s="1" t="s">
        <v>314</v>
      </c>
      <c r="C288">
        <v>792</v>
      </c>
      <c r="D288" s="2">
        <v>45679</v>
      </c>
      <c r="E288" s="1" t="s">
        <v>554</v>
      </c>
    </row>
    <row r="289" spans="1:5" x14ac:dyDescent="0.35">
      <c r="A289" s="1" t="s">
        <v>836</v>
      </c>
      <c r="B289" s="1" t="s">
        <v>315</v>
      </c>
      <c r="C289">
        <v>1458</v>
      </c>
      <c r="D289" s="2">
        <v>45697</v>
      </c>
      <c r="E289" s="1" t="s">
        <v>545</v>
      </c>
    </row>
    <row r="290" spans="1:5" x14ac:dyDescent="0.35">
      <c r="A290" s="1" t="s">
        <v>837</v>
      </c>
      <c r="B290" s="1" t="s">
        <v>316</v>
      </c>
      <c r="C290">
        <v>1200</v>
      </c>
      <c r="D290" s="2">
        <v>45717</v>
      </c>
      <c r="E290" s="1" t="s">
        <v>556</v>
      </c>
    </row>
    <row r="291" spans="1:5" x14ac:dyDescent="0.35">
      <c r="A291" s="1" t="s">
        <v>838</v>
      </c>
      <c r="B291" s="1" t="s">
        <v>317</v>
      </c>
      <c r="C291">
        <v>662</v>
      </c>
      <c r="D291" s="2">
        <v>45694</v>
      </c>
      <c r="E291" s="1" t="s">
        <v>545</v>
      </c>
    </row>
    <row r="292" spans="1:5" x14ac:dyDescent="0.35">
      <c r="A292" s="1" t="s">
        <v>839</v>
      </c>
      <c r="B292" s="1" t="s">
        <v>318</v>
      </c>
      <c r="C292">
        <v>977</v>
      </c>
      <c r="D292" s="2">
        <v>45676</v>
      </c>
      <c r="E292" s="1" t="s">
        <v>547</v>
      </c>
    </row>
    <row r="293" spans="1:5" x14ac:dyDescent="0.35">
      <c r="A293" s="1" t="s">
        <v>840</v>
      </c>
      <c r="B293" s="1" t="s">
        <v>319</v>
      </c>
      <c r="C293">
        <v>1793</v>
      </c>
      <c r="D293" s="2">
        <v>45665</v>
      </c>
      <c r="E293" s="1" t="s">
        <v>545</v>
      </c>
    </row>
    <row r="294" spans="1:5" x14ac:dyDescent="0.35">
      <c r="A294" s="1" t="s">
        <v>841</v>
      </c>
      <c r="B294" s="1" t="s">
        <v>320</v>
      </c>
      <c r="C294">
        <v>1715</v>
      </c>
      <c r="D294" s="2">
        <v>45770</v>
      </c>
      <c r="E294" s="1" t="s">
        <v>554</v>
      </c>
    </row>
    <row r="295" spans="1:5" x14ac:dyDescent="0.35">
      <c r="A295" s="1" t="s">
        <v>842</v>
      </c>
      <c r="B295" s="1" t="s">
        <v>321</v>
      </c>
      <c r="C295">
        <v>2030</v>
      </c>
      <c r="D295" s="2">
        <v>45668</v>
      </c>
      <c r="E295" s="1" t="s">
        <v>554</v>
      </c>
    </row>
    <row r="296" spans="1:5" x14ac:dyDescent="0.35">
      <c r="A296" s="1" t="s">
        <v>843</v>
      </c>
      <c r="B296" s="1" t="s">
        <v>322</v>
      </c>
      <c r="C296">
        <v>873</v>
      </c>
      <c r="D296" s="2">
        <v>45726</v>
      </c>
      <c r="E296" s="1" t="s">
        <v>545</v>
      </c>
    </row>
    <row r="297" spans="1:5" x14ac:dyDescent="0.35">
      <c r="A297" s="1" t="s">
        <v>844</v>
      </c>
      <c r="B297" s="1" t="s">
        <v>323</v>
      </c>
      <c r="C297">
        <v>2211</v>
      </c>
      <c r="D297" s="2">
        <v>45752</v>
      </c>
      <c r="E297" s="1" t="s">
        <v>554</v>
      </c>
    </row>
    <row r="298" spans="1:5" x14ac:dyDescent="0.35">
      <c r="A298" s="1" t="s">
        <v>845</v>
      </c>
      <c r="B298" s="1" t="s">
        <v>324</v>
      </c>
      <c r="C298">
        <v>1263</v>
      </c>
      <c r="D298" s="2">
        <v>45703</v>
      </c>
      <c r="E298" s="1" t="s">
        <v>556</v>
      </c>
    </row>
    <row r="299" spans="1:5" x14ac:dyDescent="0.35">
      <c r="A299" s="1" t="s">
        <v>846</v>
      </c>
      <c r="B299" s="1" t="s">
        <v>325</v>
      </c>
      <c r="C299">
        <v>1284</v>
      </c>
      <c r="D299" s="2">
        <v>45668</v>
      </c>
      <c r="E299" s="1" t="s">
        <v>545</v>
      </c>
    </row>
    <row r="300" spans="1:5" x14ac:dyDescent="0.35">
      <c r="A300" s="1" t="s">
        <v>847</v>
      </c>
      <c r="B300" s="1" t="s">
        <v>326</v>
      </c>
      <c r="C300">
        <v>1089</v>
      </c>
      <c r="D300" s="2">
        <v>45729</v>
      </c>
      <c r="E300" s="1" t="s">
        <v>556</v>
      </c>
    </row>
    <row r="301" spans="1:5" x14ac:dyDescent="0.35">
      <c r="A301" s="1" t="s">
        <v>848</v>
      </c>
      <c r="B301" s="1" t="s">
        <v>327</v>
      </c>
      <c r="C301">
        <v>1460</v>
      </c>
      <c r="D301" s="2">
        <v>45670</v>
      </c>
      <c r="E301" s="1" t="s">
        <v>556</v>
      </c>
    </row>
    <row r="302" spans="1:5" x14ac:dyDescent="0.35">
      <c r="A302" s="1" t="s">
        <v>849</v>
      </c>
      <c r="B302" s="1" t="s">
        <v>328</v>
      </c>
      <c r="C302">
        <v>975</v>
      </c>
      <c r="D302" s="2">
        <v>45660</v>
      </c>
      <c r="E302" s="1" t="s">
        <v>563</v>
      </c>
    </row>
    <row r="303" spans="1:5" x14ac:dyDescent="0.35">
      <c r="A303" s="1" t="s">
        <v>850</v>
      </c>
      <c r="B303" s="1" t="s">
        <v>329</v>
      </c>
      <c r="C303">
        <v>502</v>
      </c>
      <c r="D303" s="2">
        <v>45774</v>
      </c>
      <c r="E303" s="1" t="s">
        <v>545</v>
      </c>
    </row>
    <row r="304" spans="1:5" x14ac:dyDescent="0.35">
      <c r="A304" s="1" t="s">
        <v>851</v>
      </c>
      <c r="B304" s="1" t="s">
        <v>330</v>
      </c>
      <c r="C304">
        <v>905</v>
      </c>
      <c r="D304" s="2">
        <v>45744</v>
      </c>
      <c r="E304" s="1" t="s">
        <v>554</v>
      </c>
    </row>
    <row r="305" spans="1:5" x14ac:dyDescent="0.35">
      <c r="A305" s="1" t="s">
        <v>852</v>
      </c>
      <c r="B305" s="1" t="s">
        <v>331</v>
      </c>
      <c r="C305">
        <v>1603</v>
      </c>
      <c r="D305" s="2">
        <v>45728</v>
      </c>
      <c r="E305" s="1" t="s">
        <v>556</v>
      </c>
    </row>
    <row r="306" spans="1:5" x14ac:dyDescent="0.35">
      <c r="A306" s="1" t="s">
        <v>853</v>
      </c>
      <c r="B306" s="1" t="s">
        <v>332</v>
      </c>
      <c r="C306">
        <v>852</v>
      </c>
      <c r="D306" s="2">
        <v>45697</v>
      </c>
      <c r="E306" s="1" t="s">
        <v>563</v>
      </c>
    </row>
    <row r="307" spans="1:5" x14ac:dyDescent="0.35">
      <c r="A307" s="1" t="s">
        <v>854</v>
      </c>
      <c r="B307" s="1" t="s">
        <v>333</v>
      </c>
      <c r="C307">
        <v>822</v>
      </c>
      <c r="D307" s="2">
        <v>45765</v>
      </c>
      <c r="E307" s="1" t="s">
        <v>545</v>
      </c>
    </row>
    <row r="308" spans="1:5" x14ac:dyDescent="0.35">
      <c r="A308" s="1" t="s">
        <v>855</v>
      </c>
      <c r="B308" s="1" t="s">
        <v>334</v>
      </c>
      <c r="C308">
        <v>1400</v>
      </c>
      <c r="D308" s="2">
        <v>45696</v>
      </c>
      <c r="E308" s="1" t="s">
        <v>545</v>
      </c>
    </row>
    <row r="309" spans="1:5" x14ac:dyDescent="0.35">
      <c r="A309" s="1" t="s">
        <v>856</v>
      </c>
      <c r="B309" s="1" t="s">
        <v>335</v>
      </c>
      <c r="C309">
        <v>1965</v>
      </c>
      <c r="D309" s="2">
        <v>45727</v>
      </c>
      <c r="E309" s="1" t="s">
        <v>547</v>
      </c>
    </row>
    <row r="310" spans="1:5" x14ac:dyDescent="0.35">
      <c r="A310" s="1" t="s">
        <v>857</v>
      </c>
      <c r="B310" s="1" t="s">
        <v>336</v>
      </c>
      <c r="C310">
        <v>1220</v>
      </c>
      <c r="D310" s="2">
        <v>45710</v>
      </c>
      <c r="E310" s="1" t="s">
        <v>547</v>
      </c>
    </row>
    <row r="311" spans="1:5" x14ac:dyDescent="0.35">
      <c r="A311" s="1" t="s">
        <v>858</v>
      </c>
      <c r="B311" s="1" t="s">
        <v>337</v>
      </c>
      <c r="C311">
        <v>456</v>
      </c>
      <c r="D311" s="2">
        <v>45742</v>
      </c>
      <c r="E311" s="1" t="s">
        <v>556</v>
      </c>
    </row>
    <row r="312" spans="1:5" x14ac:dyDescent="0.35">
      <c r="A312" s="1" t="s">
        <v>859</v>
      </c>
      <c r="B312" s="1" t="s">
        <v>338</v>
      </c>
      <c r="C312">
        <v>2110</v>
      </c>
      <c r="D312" s="2">
        <v>45722</v>
      </c>
      <c r="E312" s="1" t="s">
        <v>547</v>
      </c>
    </row>
    <row r="313" spans="1:5" x14ac:dyDescent="0.35">
      <c r="A313" s="1" t="s">
        <v>860</v>
      </c>
      <c r="B313" s="1" t="s">
        <v>339</v>
      </c>
      <c r="C313">
        <v>490</v>
      </c>
      <c r="D313" s="2">
        <v>45668</v>
      </c>
      <c r="E313" s="1" t="s">
        <v>556</v>
      </c>
    </row>
    <row r="314" spans="1:5" x14ac:dyDescent="0.35">
      <c r="A314" s="1" t="s">
        <v>861</v>
      </c>
      <c r="B314" s="1" t="s">
        <v>340</v>
      </c>
      <c r="C314">
        <v>1786</v>
      </c>
      <c r="D314" s="2">
        <v>45670</v>
      </c>
      <c r="E314" s="1" t="s">
        <v>554</v>
      </c>
    </row>
    <row r="315" spans="1:5" x14ac:dyDescent="0.35">
      <c r="A315" s="1" t="s">
        <v>862</v>
      </c>
      <c r="B315" s="1" t="s">
        <v>341</v>
      </c>
      <c r="C315">
        <v>755</v>
      </c>
      <c r="D315" s="2">
        <v>45723</v>
      </c>
      <c r="E315" s="1" t="s">
        <v>556</v>
      </c>
    </row>
    <row r="316" spans="1:5" x14ac:dyDescent="0.35">
      <c r="A316" s="1" t="s">
        <v>863</v>
      </c>
      <c r="B316" s="1" t="s">
        <v>342</v>
      </c>
      <c r="C316">
        <v>1747</v>
      </c>
      <c r="D316" s="2">
        <v>45773</v>
      </c>
      <c r="E316" s="1" t="s">
        <v>547</v>
      </c>
    </row>
    <row r="317" spans="1:5" x14ac:dyDescent="0.35">
      <c r="A317" s="1" t="s">
        <v>864</v>
      </c>
      <c r="B317" s="1" t="s">
        <v>343</v>
      </c>
      <c r="C317">
        <v>1787</v>
      </c>
      <c r="D317" s="2">
        <v>45773</v>
      </c>
      <c r="E317" s="1" t="s">
        <v>554</v>
      </c>
    </row>
    <row r="318" spans="1:5" x14ac:dyDescent="0.35">
      <c r="A318" s="1" t="s">
        <v>865</v>
      </c>
      <c r="B318" s="1" t="s">
        <v>344</v>
      </c>
      <c r="C318">
        <v>950</v>
      </c>
      <c r="D318" s="2">
        <v>45751</v>
      </c>
      <c r="E318" s="1" t="s">
        <v>547</v>
      </c>
    </row>
    <row r="319" spans="1:5" x14ac:dyDescent="0.35">
      <c r="A319" s="1" t="s">
        <v>866</v>
      </c>
      <c r="B319" s="1" t="s">
        <v>345</v>
      </c>
      <c r="C319">
        <v>423</v>
      </c>
      <c r="D319" s="2">
        <v>45740</v>
      </c>
      <c r="E319" s="1" t="s">
        <v>556</v>
      </c>
    </row>
    <row r="320" spans="1:5" x14ac:dyDescent="0.35">
      <c r="A320" s="1" t="s">
        <v>867</v>
      </c>
      <c r="B320" s="1" t="s">
        <v>346</v>
      </c>
      <c r="C320">
        <v>1959</v>
      </c>
      <c r="D320" s="2">
        <v>45771</v>
      </c>
      <c r="E320" s="1" t="s">
        <v>563</v>
      </c>
    </row>
    <row r="321" spans="1:5" x14ac:dyDescent="0.35">
      <c r="A321" s="1" t="s">
        <v>868</v>
      </c>
      <c r="B321" s="1" t="s">
        <v>347</v>
      </c>
      <c r="C321">
        <v>495</v>
      </c>
      <c r="D321" s="2">
        <v>45768</v>
      </c>
      <c r="E321" s="1" t="s">
        <v>545</v>
      </c>
    </row>
    <row r="322" spans="1:5" x14ac:dyDescent="0.35">
      <c r="A322" s="1" t="s">
        <v>869</v>
      </c>
      <c r="B322" s="1" t="s">
        <v>348</v>
      </c>
      <c r="C322">
        <v>1570</v>
      </c>
      <c r="D322" s="2">
        <v>45721</v>
      </c>
      <c r="E322" s="1" t="s">
        <v>547</v>
      </c>
    </row>
    <row r="323" spans="1:5" x14ac:dyDescent="0.35">
      <c r="A323" s="1" t="s">
        <v>870</v>
      </c>
      <c r="B323" s="1" t="s">
        <v>349</v>
      </c>
      <c r="C323">
        <v>1258</v>
      </c>
      <c r="D323" s="2">
        <v>45669</v>
      </c>
      <c r="E323" s="1" t="s">
        <v>556</v>
      </c>
    </row>
    <row r="324" spans="1:5" x14ac:dyDescent="0.35">
      <c r="A324" s="1" t="s">
        <v>871</v>
      </c>
      <c r="B324" s="1" t="s">
        <v>350</v>
      </c>
      <c r="C324">
        <v>1121</v>
      </c>
      <c r="D324" s="2">
        <v>45694</v>
      </c>
      <c r="E324" s="1" t="s">
        <v>554</v>
      </c>
    </row>
    <row r="325" spans="1:5" x14ac:dyDescent="0.35">
      <c r="A325" s="1" t="s">
        <v>872</v>
      </c>
      <c r="B325" s="1" t="s">
        <v>351</v>
      </c>
      <c r="C325">
        <v>287</v>
      </c>
      <c r="D325" s="2">
        <v>45772</v>
      </c>
      <c r="E325" s="1" t="s">
        <v>547</v>
      </c>
    </row>
    <row r="326" spans="1:5" x14ac:dyDescent="0.35">
      <c r="A326" s="1" t="s">
        <v>873</v>
      </c>
      <c r="B326" s="1" t="s">
        <v>352</v>
      </c>
      <c r="C326">
        <v>1663</v>
      </c>
      <c r="D326" s="2">
        <v>45758</v>
      </c>
      <c r="E326" s="1" t="s">
        <v>547</v>
      </c>
    </row>
    <row r="327" spans="1:5" x14ac:dyDescent="0.35">
      <c r="A327" s="1" t="s">
        <v>874</v>
      </c>
      <c r="B327" s="1" t="s">
        <v>353</v>
      </c>
      <c r="C327">
        <v>1791</v>
      </c>
      <c r="D327" s="2">
        <v>45754</v>
      </c>
      <c r="E327" s="1" t="s">
        <v>545</v>
      </c>
    </row>
    <row r="328" spans="1:5" x14ac:dyDescent="0.35">
      <c r="A328" s="1" t="s">
        <v>875</v>
      </c>
      <c r="B328" s="1" t="s">
        <v>354</v>
      </c>
      <c r="C328">
        <v>1106</v>
      </c>
      <c r="D328" s="2">
        <v>45708</v>
      </c>
      <c r="E328" s="1" t="s">
        <v>556</v>
      </c>
    </row>
    <row r="329" spans="1:5" x14ac:dyDescent="0.35">
      <c r="A329" s="1" t="s">
        <v>876</v>
      </c>
      <c r="B329" s="1" t="s">
        <v>355</v>
      </c>
      <c r="C329">
        <v>682</v>
      </c>
      <c r="D329" s="2">
        <v>45691</v>
      </c>
      <c r="E329" s="1" t="s">
        <v>563</v>
      </c>
    </row>
    <row r="330" spans="1:5" x14ac:dyDescent="0.35">
      <c r="A330" s="1" t="s">
        <v>877</v>
      </c>
      <c r="B330" s="1" t="s">
        <v>356</v>
      </c>
      <c r="C330">
        <v>2130</v>
      </c>
      <c r="D330" s="2">
        <v>45754</v>
      </c>
      <c r="E330" s="1" t="s">
        <v>554</v>
      </c>
    </row>
    <row r="331" spans="1:5" x14ac:dyDescent="0.35">
      <c r="A331" s="1" t="s">
        <v>878</v>
      </c>
      <c r="B331" s="1" t="s">
        <v>357</v>
      </c>
      <c r="C331">
        <v>1506</v>
      </c>
      <c r="D331" s="2">
        <v>45703</v>
      </c>
      <c r="E331" s="1" t="s">
        <v>556</v>
      </c>
    </row>
    <row r="332" spans="1:5" x14ac:dyDescent="0.35">
      <c r="A332" s="1" t="s">
        <v>879</v>
      </c>
      <c r="B332" s="1" t="s">
        <v>358</v>
      </c>
      <c r="C332">
        <v>1813</v>
      </c>
      <c r="D332" s="2">
        <v>45740</v>
      </c>
      <c r="E332" s="1" t="s">
        <v>554</v>
      </c>
    </row>
    <row r="333" spans="1:5" x14ac:dyDescent="0.35">
      <c r="A333" s="1" t="s">
        <v>880</v>
      </c>
      <c r="B333" s="1" t="s">
        <v>359</v>
      </c>
      <c r="C333">
        <v>651</v>
      </c>
      <c r="D333" s="2">
        <v>45725</v>
      </c>
      <c r="E333" s="1" t="s">
        <v>547</v>
      </c>
    </row>
    <row r="334" spans="1:5" x14ac:dyDescent="0.35">
      <c r="A334" s="1" t="s">
        <v>881</v>
      </c>
      <c r="B334" s="1" t="s">
        <v>360</v>
      </c>
      <c r="C334">
        <v>1090</v>
      </c>
      <c r="D334" s="2">
        <v>45667</v>
      </c>
      <c r="E334" s="1" t="s">
        <v>545</v>
      </c>
    </row>
    <row r="335" spans="1:5" x14ac:dyDescent="0.35">
      <c r="A335" s="1" t="s">
        <v>882</v>
      </c>
      <c r="B335" s="1" t="s">
        <v>361</v>
      </c>
      <c r="C335">
        <v>1163</v>
      </c>
      <c r="D335" s="2">
        <v>45743</v>
      </c>
      <c r="E335" s="1" t="s">
        <v>545</v>
      </c>
    </row>
    <row r="336" spans="1:5" x14ac:dyDescent="0.35">
      <c r="A336" s="1" t="s">
        <v>883</v>
      </c>
      <c r="B336" s="1" t="s">
        <v>362</v>
      </c>
      <c r="C336">
        <v>1534</v>
      </c>
      <c r="D336" s="2">
        <v>45676</v>
      </c>
      <c r="E336" s="1" t="s">
        <v>563</v>
      </c>
    </row>
    <row r="337" spans="1:5" x14ac:dyDescent="0.35">
      <c r="A337" s="1" t="s">
        <v>884</v>
      </c>
      <c r="B337" s="1" t="s">
        <v>363</v>
      </c>
      <c r="C337">
        <v>2248</v>
      </c>
      <c r="D337" s="2">
        <v>45681</v>
      </c>
      <c r="E337" s="1" t="s">
        <v>545</v>
      </c>
    </row>
    <row r="338" spans="1:5" x14ac:dyDescent="0.35">
      <c r="A338" s="1" t="s">
        <v>885</v>
      </c>
      <c r="B338" s="1" t="s">
        <v>364</v>
      </c>
      <c r="C338">
        <v>2027</v>
      </c>
      <c r="D338" s="2">
        <v>45776</v>
      </c>
      <c r="E338" s="1" t="s">
        <v>547</v>
      </c>
    </row>
    <row r="339" spans="1:5" x14ac:dyDescent="0.35">
      <c r="A339" s="1" t="s">
        <v>886</v>
      </c>
      <c r="B339" s="1" t="s">
        <v>365</v>
      </c>
      <c r="C339">
        <v>908</v>
      </c>
      <c r="D339" s="2">
        <v>45667</v>
      </c>
      <c r="E339" s="1" t="s">
        <v>563</v>
      </c>
    </row>
    <row r="340" spans="1:5" x14ac:dyDescent="0.35">
      <c r="A340" s="1" t="s">
        <v>887</v>
      </c>
      <c r="B340" s="1" t="s">
        <v>366</v>
      </c>
      <c r="C340">
        <v>1744</v>
      </c>
      <c r="D340" s="2">
        <v>45730</v>
      </c>
      <c r="E340" s="1" t="s">
        <v>556</v>
      </c>
    </row>
    <row r="341" spans="1:5" x14ac:dyDescent="0.35">
      <c r="A341" s="1" t="s">
        <v>888</v>
      </c>
      <c r="B341" s="1" t="s">
        <v>367</v>
      </c>
      <c r="C341">
        <v>1480</v>
      </c>
      <c r="D341" s="2">
        <v>45689</v>
      </c>
      <c r="E341" s="1" t="s">
        <v>545</v>
      </c>
    </row>
    <row r="342" spans="1:5" x14ac:dyDescent="0.35">
      <c r="A342" s="1" t="s">
        <v>889</v>
      </c>
      <c r="B342" s="1" t="s">
        <v>368</v>
      </c>
      <c r="C342">
        <v>529</v>
      </c>
      <c r="D342" s="2">
        <v>45701</v>
      </c>
      <c r="E342" s="1" t="s">
        <v>563</v>
      </c>
    </row>
    <row r="343" spans="1:5" x14ac:dyDescent="0.35">
      <c r="A343" s="1" t="s">
        <v>890</v>
      </c>
      <c r="B343" s="1" t="s">
        <v>369</v>
      </c>
      <c r="C343">
        <v>2001</v>
      </c>
      <c r="D343" s="2">
        <v>45730</v>
      </c>
      <c r="E343" s="1" t="s">
        <v>547</v>
      </c>
    </row>
    <row r="344" spans="1:5" x14ac:dyDescent="0.35">
      <c r="A344" s="1" t="s">
        <v>891</v>
      </c>
      <c r="B344" s="1" t="s">
        <v>370</v>
      </c>
      <c r="C344">
        <v>1099</v>
      </c>
      <c r="D344" s="2">
        <v>45729</v>
      </c>
      <c r="E344" s="1" t="s">
        <v>554</v>
      </c>
    </row>
    <row r="345" spans="1:5" x14ac:dyDescent="0.35">
      <c r="A345" s="1" t="s">
        <v>892</v>
      </c>
      <c r="B345" s="1" t="s">
        <v>371</v>
      </c>
      <c r="C345">
        <v>1218</v>
      </c>
      <c r="D345" s="2">
        <v>45731</v>
      </c>
      <c r="E345" s="1" t="s">
        <v>554</v>
      </c>
    </row>
    <row r="346" spans="1:5" x14ac:dyDescent="0.35">
      <c r="A346" s="1" t="s">
        <v>893</v>
      </c>
      <c r="B346" s="1" t="s">
        <v>372</v>
      </c>
      <c r="C346">
        <v>1436</v>
      </c>
      <c r="D346" s="2">
        <v>45728</v>
      </c>
      <c r="E346" s="1" t="s">
        <v>547</v>
      </c>
    </row>
    <row r="347" spans="1:5" x14ac:dyDescent="0.35">
      <c r="A347" s="1" t="s">
        <v>894</v>
      </c>
      <c r="B347" s="1" t="s">
        <v>373</v>
      </c>
      <c r="C347">
        <v>550</v>
      </c>
      <c r="D347" s="2">
        <v>45694</v>
      </c>
      <c r="E347" s="1" t="s">
        <v>547</v>
      </c>
    </row>
    <row r="348" spans="1:5" x14ac:dyDescent="0.35">
      <c r="A348" s="1" t="s">
        <v>895</v>
      </c>
      <c r="B348" s="1" t="s">
        <v>374</v>
      </c>
      <c r="C348">
        <v>471</v>
      </c>
      <c r="D348" s="2">
        <v>45716</v>
      </c>
      <c r="E348" s="1" t="s">
        <v>554</v>
      </c>
    </row>
    <row r="349" spans="1:5" x14ac:dyDescent="0.35">
      <c r="A349" s="1" t="s">
        <v>896</v>
      </c>
      <c r="B349" s="1" t="s">
        <v>375</v>
      </c>
      <c r="C349">
        <v>570</v>
      </c>
      <c r="D349" s="2">
        <v>45744</v>
      </c>
      <c r="E349" s="1" t="s">
        <v>563</v>
      </c>
    </row>
    <row r="350" spans="1:5" x14ac:dyDescent="0.35">
      <c r="A350" s="1" t="s">
        <v>897</v>
      </c>
      <c r="B350" s="1" t="s">
        <v>376</v>
      </c>
      <c r="C350">
        <v>1312</v>
      </c>
      <c r="D350" s="2">
        <v>45692</v>
      </c>
      <c r="E350" s="1" t="s">
        <v>554</v>
      </c>
    </row>
    <row r="351" spans="1:5" x14ac:dyDescent="0.35">
      <c r="A351" s="1" t="s">
        <v>898</v>
      </c>
      <c r="B351" s="1" t="s">
        <v>377</v>
      </c>
      <c r="C351">
        <v>2004</v>
      </c>
      <c r="D351" s="2">
        <v>45674</v>
      </c>
      <c r="E351" s="1" t="s">
        <v>547</v>
      </c>
    </row>
    <row r="352" spans="1:5" x14ac:dyDescent="0.35">
      <c r="A352" s="1" t="s">
        <v>899</v>
      </c>
      <c r="B352" s="1" t="s">
        <v>378</v>
      </c>
      <c r="C352">
        <v>1110</v>
      </c>
      <c r="D352" s="2">
        <v>45765</v>
      </c>
      <c r="E352" s="1" t="s">
        <v>545</v>
      </c>
    </row>
    <row r="353" spans="1:5" x14ac:dyDescent="0.35">
      <c r="A353" s="1" t="s">
        <v>900</v>
      </c>
      <c r="B353" s="1" t="s">
        <v>379</v>
      </c>
      <c r="C353">
        <v>593</v>
      </c>
      <c r="D353" s="2">
        <v>45744</v>
      </c>
      <c r="E353" s="1" t="s">
        <v>556</v>
      </c>
    </row>
    <row r="354" spans="1:5" x14ac:dyDescent="0.35">
      <c r="A354" s="1" t="s">
        <v>901</v>
      </c>
      <c r="B354" s="1" t="s">
        <v>380</v>
      </c>
      <c r="C354">
        <v>2174</v>
      </c>
      <c r="D354" s="2">
        <v>45771</v>
      </c>
      <c r="E354" s="1" t="s">
        <v>545</v>
      </c>
    </row>
    <row r="355" spans="1:5" x14ac:dyDescent="0.35">
      <c r="A355" s="1" t="s">
        <v>902</v>
      </c>
      <c r="B355" s="1" t="s">
        <v>381</v>
      </c>
      <c r="C355">
        <v>1428</v>
      </c>
      <c r="D355" s="2">
        <v>45712</v>
      </c>
      <c r="E355" s="1" t="s">
        <v>545</v>
      </c>
    </row>
    <row r="356" spans="1:5" x14ac:dyDescent="0.35">
      <c r="A356" s="1" t="s">
        <v>903</v>
      </c>
      <c r="B356" s="1" t="s">
        <v>382</v>
      </c>
      <c r="C356">
        <v>1519</v>
      </c>
      <c r="D356" s="2">
        <v>45754</v>
      </c>
      <c r="E356" s="1" t="s">
        <v>547</v>
      </c>
    </row>
    <row r="357" spans="1:5" x14ac:dyDescent="0.35">
      <c r="A357" s="1" t="s">
        <v>904</v>
      </c>
      <c r="B357" s="1" t="s">
        <v>383</v>
      </c>
      <c r="C357">
        <v>501</v>
      </c>
      <c r="D357" s="2">
        <v>45722</v>
      </c>
      <c r="E357" s="1" t="s">
        <v>554</v>
      </c>
    </row>
    <row r="358" spans="1:5" x14ac:dyDescent="0.35">
      <c r="A358" s="1" t="s">
        <v>905</v>
      </c>
      <c r="B358" s="1" t="s">
        <v>384</v>
      </c>
      <c r="C358">
        <v>1529</v>
      </c>
      <c r="D358" s="2">
        <v>45737</v>
      </c>
      <c r="E358" s="1" t="s">
        <v>563</v>
      </c>
    </row>
    <row r="359" spans="1:5" x14ac:dyDescent="0.35">
      <c r="A359" s="1" t="s">
        <v>906</v>
      </c>
      <c r="B359" s="1" t="s">
        <v>385</v>
      </c>
      <c r="C359">
        <v>1197</v>
      </c>
      <c r="D359" s="2">
        <v>45778</v>
      </c>
      <c r="E359" s="1" t="s">
        <v>545</v>
      </c>
    </row>
    <row r="360" spans="1:5" x14ac:dyDescent="0.35">
      <c r="A360" s="1" t="s">
        <v>907</v>
      </c>
      <c r="B360" s="1" t="s">
        <v>386</v>
      </c>
      <c r="C360">
        <v>337</v>
      </c>
      <c r="D360" s="2">
        <v>45692</v>
      </c>
      <c r="E360" s="1" t="s">
        <v>554</v>
      </c>
    </row>
    <row r="361" spans="1:5" x14ac:dyDescent="0.35">
      <c r="A361" s="1" t="s">
        <v>908</v>
      </c>
      <c r="B361" s="1" t="s">
        <v>387</v>
      </c>
      <c r="C361">
        <v>1900</v>
      </c>
      <c r="D361" s="2">
        <v>45755</v>
      </c>
      <c r="E361" s="1" t="s">
        <v>563</v>
      </c>
    </row>
    <row r="362" spans="1:5" x14ac:dyDescent="0.35">
      <c r="A362" s="1" t="s">
        <v>909</v>
      </c>
      <c r="B362" s="1" t="s">
        <v>388</v>
      </c>
      <c r="C362">
        <v>447</v>
      </c>
      <c r="D362" s="2">
        <v>45727</v>
      </c>
      <c r="E362" s="1" t="s">
        <v>545</v>
      </c>
    </row>
    <row r="363" spans="1:5" x14ac:dyDescent="0.35">
      <c r="A363" s="1" t="s">
        <v>910</v>
      </c>
      <c r="B363" s="1" t="s">
        <v>389</v>
      </c>
      <c r="C363">
        <v>470</v>
      </c>
      <c r="D363" s="2">
        <v>45712</v>
      </c>
      <c r="E363" s="1" t="s">
        <v>563</v>
      </c>
    </row>
    <row r="364" spans="1:5" x14ac:dyDescent="0.35">
      <c r="A364" s="1" t="s">
        <v>911</v>
      </c>
      <c r="B364" s="1" t="s">
        <v>390</v>
      </c>
      <c r="C364">
        <v>1212</v>
      </c>
      <c r="D364" s="2">
        <v>45777</v>
      </c>
      <c r="E364" s="1" t="s">
        <v>554</v>
      </c>
    </row>
    <row r="365" spans="1:5" x14ac:dyDescent="0.35">
      <c r="A365" s="1" t="s">
        <v>912</v>
      </c>
      <c r="B365" s="1" t="s">
        <v>391</v>
      </c>
      <c r="C365">
        <v>428</v>
      </c>
      <c r="D365" s="2">
        <v>45706</v>
      </c>
      <c r="E365" s="1" t="s">
        <v>556</v>
      </c>
    </row>
    <row r="366" spans="1:5" x14ac:dyDescent="0.35">
      <c r="A366" s="1" t="s">
        <v>913</v>
      </c>
      <c r="B366" s="1" t="s">
        <v>392</v>
      </c>
      <c r="C366">
        <v>1132</v>
      </c>
      <c r="D366" s="2">
        <v>45726</v>
      </c>
      <c r="E366" s="1" t="s">
        <v>554</v>
      </c>
    </row>
    <row r="367" spans="1:5" x14ac:dyDescent="0.35">
      <c r="A367" s="1" t="s">
        <v>914</v>
      </c>
      <c r="B367" s="1" t="s">
        <v>393</v>
      </c>
      <c r="C367">
        <v>880</v>
      </c>
      <c r="D367" s="2">
        <v>45691</v>
      </c>
      <c r="E367" s="1" t="s">
        <v>547</v>
      </c>
    </row>
    <row r="368" spans="1:5" x14ac:dyDescent="0.35">
      <c r="A368" s="1" t="s">
        <v>915</v>
      </c>
      <c r="B368" s="1" t="s">
        <v>394</v>
      </c>
      <c r="C368">
        <v>1806</v>
      </c>
      <c r="D368" s="2">
        <v>45757</v>
      </c>
      <c r="E368" s="1" t="s">
        <v>563</v>
      </c>
    </row>
    <row r="369" spans="1:5" x14ac:dyDescent="0.35">
      <c r="A369" s="1" t="s">
        <v>916</v>
      </c>
      <c r="B369" s="1" t="s">
        <v>395</v>
      </c>
      <c r="C369">
        <v>871</v>
      </c>
      <c r="D369" s="2">
        <v>45747</v>
      </c>
      <c r="E369" s="1" t="s">
        <v>556</v>
      </c>
    </row>
    <row r="370" spans="1:5" x14ac:dyDescent="0.35">
      <c r="A370" s="1" t="s">
        <v>917</v>
      </c>
      <c r="B370" s="1" t="s">
        <v>396</v>
      </c>
      <c r="C370">
        <v>932</v>
      </c>
      <c r="D370" s="2">
        <v>45776</v>
      </c>
      <c r="E370" s="1" t="s">
        <v>563</v>
      </c>
    </row>
    <row r="371" spans="1:5" x14ac:dyDescent="0.35">
      <c r="A371" s="1" t="s">
        <v>918</v>
      </c>
      <c r="B371" s="1" t="s">
        <v>397</v>
      </c>
      <c r="C371">
        <v>300</v>
      </c>
      <c r="D371" s="2">
        <v>45707</v>
      </c>
      <c r="E371" s="1" t="s">
        <v>563</v>
      </c>
    </row>
    <row r="372" spans="1:5" x14ac:dyDescent="0.35">
      <c r="A372" s="1" t="s">
        <v>919</v>
      </c>
      <c r="B372" s="1" t="s">
        <v>398</v>
      </c>
      <c r="C372">
        <v>1097</v>
      </c>
      <c r="D372" s="2">
        <v>45722</v>
      </c>
      <c r="E372" s="1" t="s">
        <v>545</v>
      </c>
    </row>
    <row r="373" spans="1:5" x14ac:dyDescent="0.35">
      <c r="A373" s="1" t="s">
        <v>920</v>
      </c>
      <c r="B373" s="1" t="s">
        <v>399</v>
      </c>
      <c r="C373">
        <v>1300</v>
      </c>
      <c r="D373" s="2">
        <v>45745</v>
      </c>
      <c r="E373" s="1" t="s">
        <v>547</v>
      </c>
    </row>
    <row r="374" spans="1:5" x14ac:dyDescent="0.35">
      <c r="A374" s="1" t="s">
        <v>921</v>
      </c>
      <c r="B374" s="1" t="s">
        <v>400</v>
      </c>
      <c r="C374">
        <v>1815</v>
      </c>
      <c r="D374" s="2">
        <v>45755</v>
      </c>
      <c r="E374" s="1" t="s">
        <v>563</v>
      </c>
    </row>
    <row r="375" spans="1:5" x14ac:dyDescent="0.35">
      <c r="A375" s="1" t="s">
        <v>922</v>
      </c>
      <c r="B375" s="1" t="s">
        <v>401</v>
      </c>
      <c r="C375">
        <v>724</v>
      </c>
      <c r="D375" s="2">
        <v>45737</v>
      </c>
      <c r="E375" s="1" t="s">
        <v>554</v>
      </c>
    </row>
    <row r="376" spans="1:5" x14ac:dyDescent="0.35">
      <c r="A376" s="1" t="s">
        <v>923</v>
      </c>
      <c r="B376" s="1" t="s">
        <v>402</v>
      </c>
      <c r="C376">
        <v>1758</v>
      </c>
      <c r="D376" s="2">
        <v>45682</v>
      </c>
      <c r="E376" s="1" t="s">
        <v>554</v>
      </c>
    </row>
    <row r="377" spans="1:5" x14ac:dyDescent="0.35">
      <c r="A377" s="1" t="s">
        <v>924</v>
      </c>
      <c r="B377" s="1" t="s">
        <v>403</v>
      </c>
      <c r="C377">
        <v>1035</v>
      </c>
      <c r="D377" s="2">
        <v>45692</v>
      </c>
      <c r="E377" s="1" t="s">
        <v>545</v>
      </c>
    </row>
    <row r="378" spans="1:5" x14ac:dyDescent="0.35">
      <c r="A378" s="1" t="s">
        <v>925</v>
      </c>
      <c r="B378" s="1" t="s">
        <v>404</v>
      </c>
      <c r="C378">
        <v>1755</v>
      </c>
      <c r="D378" s="2">
        <v>45721</v>
      </c>
      <c r="E378" s="1" t="s">
        <v>547</v>
      </c>
    </row>
    <row r="379" spans="1:5" x14ac:dyDescent="0.35">
      <c r="A379" s="1" t="s">
        <v>926</v>
      </c>
      <c r="B379" s="1" t="s">
        <v>405</v>
      </c>
      <c r="C379">
        <v>981</v>
      </c>
      <c r="D379" s="2">
        <v>45695</v>
      </c>
      <c r="E379" s="1" t="s">
        <v>547</v>
      </c>
    </row>
    <row r="380" spans="1:5" x14ac:dyDescent="0.35">
      <c r="A380" s="1" t="s">
        <v>927</v>
      </c>
      <c r="B380" s="1" t="s">
        <v>406</v>
      </c>
      <c r="C380">
        <v>1701</v>
      </c>
      <c r="D380" s="2">
        <v>45703</v>
      </c>
      <c r="E380" s="1" t="s">
        <v>554</v>
      </c>
    </row>
    <row r="381" spans="1:5" x14ac:dyDescent="0.35">
      <c r="A381" s="1" t="s">
        <v>928</v>
      </c>
      <c r="B381" s="1" t="s">
        <v>407</v>
      </c>
      <c r="C381">
        <v>2180</v>
      </c>
      <c r="D381" s="2">
        <v>45708</v>
      </c>
      <c r="E381" s="1" t="s">
        <v>556</v>
      </c>
    </row>
    <row r="382" spans="1:5" x14ac:dyDescent="0.35">
      <c r="A382" s="1" t="s">
        <v>929</v>
      </c>
      <c r="B382" s="1" t="s">
        <v>408</v>
      </c>
      <c r="C382">
        <v>1684</v>
      </c>
      <c r="D382" s="2">
        <v>45734</v>
      </c>
      <c r="E382" s="1" t="s">
        <v>545</v>
      </c>
    </row>
    <row r="383" spans="1:5" x14ac:dyDescent="0.35">
      <c r="A383" s="1" t="s">
        <v>930</v>
      </c>
      <c r="B383" s="1" t="s">
        <v>409</v>
      </c>
      <c r="C383">
        <v>1569</v>
      </c>
      <c r="D383" s="2">
        <v>45683</v>
      </c>
      <c r="E383" s="1" t="s">
        <v>545</v>
      </c>
    </row>
    <row r="384" spans="1:5" x14ac:dyDescent="0.35">
      <c r="A384" s="1" t="s">
        <v>931</v>
      </c>
      <c r="B384" s="1" t="s">
        <v>410</v>
      </c>
      <c r="C384">
        <v>1584</v>
      </c>
      <c r="D384" s="2">
        <v>45769</v>
      </c>
      <c r="E384" s="1" t="s">
        <v>554</v>
      </c>
    </row>
    <row r="385" spans="1:5" x14ac:dyDescent="0.35">
      <c r="A385" s="1" t="s">
        <v>932</v>
      </c>
      <c r="B385" s="1" t="s">
        <v>411</v>
      </c>
      <c r="C385">
        <v>537</v>
      </c>
      <c r="D385" s="2">
        <v>45753</v>
      </c>
      <c r="E385" s="1" t="s">
        <v>554</v>
      </c>
    </row>
    <row r="386" spans="1:5" x14ac:dyDescent="0.35">
      <c r="A386" s="1" t="s">
        <v>933</v>
      </c>
      <c r="B386" s="1" t="s">
        <v>412</v>
      </c>
      <c r="C386">
        <v>595</v>
      </c>
      <c r="D386" s="2">
        <v>45735</v>
      </c>
      <c r="E386" s="1" t="s">
        <v>556</v>
      </c>
    </row>
    <row r="387" spans="1:5" x14ac:dyDescent="0.35">
      <c r="A387" s="1" t="s">
        <v>934</v>
      </c>
      <c r="B387" s="1" t="s">
        <v>413</v>
      </c>
      <c r="C387">
        <v>873</v>
      </c>
      <c r="D387" s="2">
        <v>45774</v>
      </c>
      <c r="E387" s="1" t="s">
        <v>556</v>
      </c>
    </row>
    <row r="388" spans="1:5" x14ac:dyDescent="0.35">
      <c r="A388" s="1" t="s">
        <v>935</v>
      </c>
      <c r="B388" s="1" t="s">
        <v>414</v>
      </c>
      <c r="C388">
        <v>359</v>
      </c>
      <c r="D388" s="2">
        <v>45731</v>
      </c>
      <c r="E388" s="1" t="s">
        <v>547</v>
      </c>
    </row>
    <row r="389" spans="1:5" x14ac:dyDescent="0.35">
      <c r="A389" s="1" t="s">
        <v>936</v>
      </c>
      <c r="B389" s="1" t="s">
        <v>415</v>
      </c>
      <c r="C389">
        <v>775</v>
      </c>
      <c r="D389" s="2">
        <v>45720</v>
      </c>
      <c r="E389" s="1" t="s">
        <v>545</v>
      </c>
    </row>
    <row r="390" spans="1:5" x14ac:dyDescent="0.35">
      <c r="A390" s="1" t="s">
        <v>937</v>
      </c>
      <c r="B390" s="1" t="s">
        <v>416</v>
      </c>
      <c r="C390">
        <v>1554</v>
      </c>
      <c r="D390" s="2">
        <v>45724</v>
      </c>
      <c r="E390" s="1" t="s">
        <v>545</v>
      </c>
    </row>
    <row r="391" spans="1:5" x14ac:dyDescent="0.35">
      <c r="A391" s="1" t="s">
        <v>938</v>
      </c>
      <c r="B391" s="1" t="s">
        <v>417</v>
      </c>
      <c r="C391">
        <v>483</v>
      </c>
      <c r="D391" s="2">
        <v>45713</v>
      </c>
      <c r="E391" s="1" t="s">
        <v>554</v>
      </c>
    </row>
    <row r="392" spans="1:5" x14ac:dyDescent="0.35">
      <c r="A392" s="1" t="s">
        <v>939</v>
      </c>
      <c r="B392" s="1" t="s">
        <v>418</v>
      </c>
      <c r="C392">
        <v>1423</v>
      </c>
      <c r="D392" s="2">
        <v>45692</v>
      </c>
      <c r="E392" s="1" t="s">
        <v>547</v>
      </c>
    </row>
    <row r="393" spans="1:5" x14ac:dyDescent="0.35">
      <c r="A393" s="1" t="s">
        <v>940</v>
      </c>
      <c r="B393" s="1" t="s">
        <v>419</v>
      </c>
      <c r="C393">
        <v>1885</v>
      </c>
      <c r="D393" s="2">
        <v>45747</v>
      </c>
      <c r="E393" s="1" t="s">
        <v>545</v>
      </c>
    </row>
    <row r="394" spans="1:5" x14ac:dyDescent="0.35">
      <c r="A394" s="1" t="s">
        <v>941</v>
      </c>
      <c r="B394" s="1" t="s">
        <v>420</v>
      </c>
      <c r="C394">
        <v>1803</v>
      </c>
      <c r="D394" s="2">
        <v>45727</v>
      </c>
      <c r="E394" s="1" t="s">
        <v>547</v>
      </c>
    </row>
    <row r="395" spans="1:5" x14ac:dyDescent="0.35">
      <c r="A395" s="1" t="s">
        <v>942</v>
      </c>
      <c r="B395" s="1" t="s">
        <v>421</v>
      </c>
      <c r="C395">
        <v>546</v>
      </c>
      <c r="D395" s="2">
        <v>45707</v>
      </c>
      <c r="E395" s="1" t="s">
        <v>547</v>
      </c>
    </row>
    <row r="396" spans="1:5" x14ac:dyDescent="0.35">
      <c r="A396" s="1" t="s">
        <v>943</v>
      </c>
      <c r="B396" s="1" t="s">
        <v>422</v>
      </c>
      <c r="C396">
        <v>943</v>
      </c>
      <c r="D396" s="2">
        <v>45674</v>
      </c>
      <c r="E396" s="1" t="s">
        <v>554</v>
      </c>
    </row>
    <row r="397" spans="1:5" x14ac:dyDescent="0.35">
      <c r="A397" s="1" t="s">
        <v>944</v>
      </c>
      <c r="B397" s="1" t="s">
        <v>423</v>
      </c>
      <c r="C397">
        <v>1273</v>
      </c>
      <c r="D397" s="2">
        <v>45678</v>
      </c>
      <c r="E397" s="1" t="s">
        <v>547</v>
      </c>
    </row>
    <row r="398" spans="1:5" x14ac:dyDescent="0.35">
      <c r="A398" s="1" t="s">
        <v>945</v>
      </c>
      <c r="B398" s="1" t="s">
        <v>424</v>
      </c>
      <c r="C398">
        <v>891</v>
      </c>
      <c r="D398" s="2">
        <v>45677</v>
      </c>
      <c r="E398" s="1" t="s">
        <v>556</v>
      </c>
    </row>
    <row r="399" spans="1:5" x14ac:dyDescent="0.35">
      <c r="A399" s="1" t="s">
        <v>946</v>
      </c>
      <c r="B399" s="1" t="s">
        <v>425</v>
      </c>
      <c r="C399">
        <v>1488</v>
      </c>
      <c r="D399" s="2">
        <v>45740</v>
      </c>
      <c r="E399" s="1" t="s">
        <v>556</v>
      </c>
    </row>
    <row r="400" spans="1:5" x14ac:dyDescent="0.35">
      <c r="A400" s="1" t="s">
        <v>947</v>
      </c>
      <c r="B400" s="1" t="s">
        <v>426</v>
      </c>
      <c r="C400">
        <v>1217</v>
      </c>
      <c r="D400" s="2">
        <v>45673</v>
      </c>
      <c r="E400" s="1" t="s">
        <v>563</v>
      </c>
    </row>
    <row r="401" spans="1:5" x14ac:dyDescent="0.35">
      <c r="A401" s="1" t="s">
        <v>948</v>
      </c>
      <c r="B401" s="1" t="s">
        <v>427</v>
      </c>
      <c r="C401">
        <v>2251</v>
      </c>
      <c r="D401" s="2">
        <v>45764</v>
      </c>
      <c r="E401" s="1" t="s">
        <v>554</v>
      </c>
    </row>
    <row r="402" spans="1:5" x14ac:dyDescent="0.35">
      <c r="A402" s="1" t="s">
        <v>949</v>
      </c>
      <c r="B402" s="1" t="s">
        <v>428</v>
      </c>
      <c r="C402">
        <v>1335</v>
      </c>
      <c r="D402" s="2">
        <v>45697</v>
      </c>
      <c r="E402" s="1" t="s">
        <v>563</v>
      </c>
    </row>
    <row r="403" spans="1:5" x14ac:dyDescent="0.35">
      <c r="A403" s="1" t="s">
        <v>950</v>
      </c>
      <c r="B403" s="1" t="s">
        <v>429</v>
      </c>
      <c r="C403">
        <v>339</v>
      </c>
      <c r="D403" s="2">
        <v>45762</v>
      </c>
      <c r="E403" s="1" t="s">
        <v>556</v>
      </c>
    </row>
    <row r="404" spans="1:5" x14ac:dyDescent="0.35">
      <c r="A404" s="1" t="s">
        <v>951</v>
      </c>
      <c r="B404" s="1" t="s">
        <v>430</v>
      </c>
      <c r="C404">
        <v>1513</v>
      </c>
      <c r="D404" s="2">
        <v>45740</v>
      </c>
      <c r="E404" s="1" t="s">
        <v>563</v>
      </c>
    </row>
    <row r="405" spans="1:5" x14ac:dyDescent="0.35">
      <c r="A405" s="1" t="s">
        <v>952</v>
      </c>
      <c r="B405" s="1" t="s">
        <v>431</v>
      </c>
      <c r="C405">
        <v>1488</v>
      </c>
      <c r="D405" s="2">
        <v>45763</v>
      </c>
      <c r="E405" s="1" t="s">
        <v>554</v>
      </c>
    </row>
    <row r="406" spans="1:5" x14ac:dyDescent="0.35">
      <c r="A406" s="1" t="s">
        <v>953</v>
      </c>
      <c r="B406" s="1" t="s">
        <v>432</v>
      </c>
      <c r="C406">
        <v>1304</v>
      </c>
      <c r="D406" s="2">
        <v>45722</v>
      </c>
      <c r="E406" s="1" t="s">
        <v>554</v>
      </c>
    </row>
    <row r="407" spans="1:5" x14ac:dyDescent="0.35">
      <c r="A407" s="1" t="s">
        <v>954</v>
      </c>
      <c r="B407" s="1" t="s">
        <v>433</v>
      </c>
      <c r="C407">
        <v>1480</v>
      </c>
      <c r="D407" s="2">
        <v>45746</v>
      </c>
      <c r="E407" s="1" t="s">
        <v>547</v>
      </c>
    </row>
    <row r="408" spans="1:5" x14ac:dyDescent="0.35">
      <c r="A408" s="1" t="s">
        <v>955</v>
      </c>
      <c r="B408" s="1" t="s">
        <v>434</v>
      </c>
      <c r="C408">
        <v>292</v>
      </c>
      <c r="D408" s="2">
        <v>45772</v>
      </c>
      <c r="E408" s="1" t="s">
        <v>545</v>
      </c>
    </row>
    <row r="409" spans="1:5" x14ac:dyDescent="0.35">
      <c r="A409" s="1" t="s">
        <v>956</v>
      </c>
      <c r="B409" s="1" t="s">
        <v>435</v>
      </c>
      <c r="C409">
        <v>1967</v>
      </c>
      <c r="D409" s="2">
        <v>45692</v>
      </c>
      <c r="E409" s="1" t="s">
        <v>547</v>
      </c>
    </row>
    <row r="410" spans="1:5" x14ac:dyDescent="0.35">
      <c r="A410" s="1" t="s">
        <v>957</v>
      </c>
      <c r="B410" s="1" t="s">
        <v>436</v>
      </c>
      <c r="C410">
        <v>1165</v>
      </c>
      <c r="D410" s="2">
        <v>45738</v>
      </c>
      <c r="E410" s="1" t="s">
        <v>554</v>
      </c>
    </row>
    <row r="411" spans="1:5" x14ac:dyDescent="0.35">
      <c r="A411" s="1" t="s">
        <v>958</v>
      </c>
      <c r="B411" s="1" t="s">
        <v>437</v>
      </c>
      <c r="C411">
        <v>1802</v>
      </c>
      <c r="D411" s="2">
        <v>45672</v>
      </c>
      <c r="E411" s="1" t="s">
        <v>556</v>
      </c>
    </row>
    <row r="412" spans="1:5" x14ac:dyDescent="0.35">
      <c r="A412" s="1" t="s">
        <v>959</v>
      </c>
      <c r="B412" s="1" t="s">
        <v>438</v>
      </c>
      <c r="C412">
        <v>1677</v>
      </c>
      <c r="D412" s="2">
        <v>45735</v>
      </c>
      <c r="E412" s="1" t="s">
        <v>556</v>
      </c>
    </row>
    <row r="413" spans="1:5" x14ac:dyDescent="0.35">
      <c r="A413" s="1" t="s">
        <v>960</v>
      </c>
      <c r="B413" s="1" t="s">
        <v>439</v>
      </c>
      <c r="C413">
        <v>1555</v>
      </c>
      <c r="D413" s="2">
        <v>45702</v>
      </c>
      <c r="E413" s="1" t="s">
        <v>547</v>
      </c>
    </row>
    <row r="414" spans="1:5" x14ac:dyDescent="0.35">
      <c r="A414" s="1" t="s">
        <v>961</v>
      </c>
      <c r="B414" s="1" t="s">
        <v>440</v>
      </c>
      <c r="C414">
        <v>627</v>
      </c>
      <c r="D414" s="2">
        <v>45713</v>
      </c>
      <c r="E414" s="1" t="s">
        <v>554</v>
      </c>
    </row>
    <row r="415" spans="1:5" x14ac:dyDescent="0.35">
      <c r="A415" s="1" t="s">
        <v>962</v>
      </c>
      <c r="B415" s="1" t="s">
        <v>441</v>
      </c>
      <c r="C415">
        <v>1529</v>
      </c>
      <c r="D415" s="2">
        <v>45683</v>
      </c>
      <c r="E415" s="1" t="s">
        <v>556</v>
      </c>
    </row>
    <row r="416" spans="1:5" x14ac:dyDescent="0.35">
      <c r="A416" s="1" t="s">
        <v>963</v>
      </c>
      <c r="B416" s="1" t="s">
        <v>442</v>
      </c>
      <c r="C416">
        <v>1997</v>
      </c>
      <c r="D416" s="2">
        <v>45690</v>
      </c>
      <c r="E416" s="1" t="s">
        <v>554</v>
      </c>
    </row>
    <row r="417" spans="1:5" x14ac:dyDescent="0.35">
      <c r="A417" s="1" t="s">
        <v>964</v>
      </c>
      <c r="B417" s="1" t="s">
        <v>443</v>
      </c>
      <c r="C417">
        <v>1117</v>
      </c>
      <c r="D417" s="2">
        <v>45683</v>
      </c>
      <c r="E417" s="1" t="s">
        <v>556</v>
      </c>
    </row>
    <row r="418" spans="1:5" x14ac:dyDescent="0.35">
      <c r="A418" s="1" t="s">
        <v>965</v>
      </c>
      <c r="B418" s="1" t="s">
        <v>444</v>
      </c>
      <c r="C418">
        <v>1714</v>
      </c>
      <c r="D418" s="2">
        <v>45777</v>
      </c>
      <c r="E418" s="1" t="s">
        <v>554</v>
      </c>
    </row>
    <row r="419" spans="1:5" x14ac:dyDescent="0.35">
      <c r="A419" s="1" t="s">
        <v>966</v>
      </c>
      <c r="B419" s="1" t="s">
        <v>445</v>
      </c>
      <c r="C419">
        <v>946</v>
      </c>
      <c r="D419" s="2">
        <v>45771</v>
      </c>
      <c r="E419" s="1" t="s">
        <v>563</v>
      </c>
    </row>
    <row r="420" spans="1:5" x14ac:dyDescent="0.35">
      <c r="A420" s="1" t="s">
        <v>967</v>
      </c>
      <c r="B420" s="1" t="s">
        <v>446</v>
      </c>
      <c r="C420">
        <v>2310</v>
      </c>
      <c r="D420" s="2">
        <v>45768</v>
      </c>
      <c r="E420" s="1" t="s">
        <v>554</v>
      </c>
    </row>
    <row r="421" spans="1:5" x14ac:dyDescent="0.35">
      <c r="A421" s="1" t="s">
        <v>968</v>
      </c>
      <c r="B421" s="1" t="s">
        <v>447</v>
      </c>
      <c r="C421">
        <v>1860</v>
      </c>
      <c r="D421" s="2">
        <v>45755</v>
      </c>
      <c r="E421" s="1" t="s">
        <v>554</v>
      </c>
    </row>
    <row r="422" spans="1:5" x14ac:dyDescent="0.35">
      <c r="A422" s="1" t="s">
        <v>969</v>
      </c>
      <c r="B422" s="1" t="s">
        <v>448</v>
      </c>
      <c r="C422">
        <v>502</v>
      </c>
      <c r="D422" s="2">
        <v>45711</v>
      </c>
      <c r="E422" s="1" t="s">
        <v>547</v>
      </c>
    </row>
    <row r="423" spans="1:5" x14ac:dyDescent="0.35">
      <c r="A423" s="1" t="s">
        <v>970</v>
      </c>
      <c r="B423" s="1" t="s">
        <v>449</v>
      </c>
      <c r="C423">
        <v>982</v>
      </c>
      <c r="D423" s="2">
        <v>45728</v>
      </c>
      <c r="E423" s="1" t="s">
        <v>563</v>
      </c>
    </row>
    <row r="424" spans="1:5" x14ac:dyDescent="0.35">
      <c r="A424" s="1" t="s">
        <v>971</v>
      </c>
      <c r="B424" s="1" t="s">
        <v>450</v>
      </c>
      <c r="C424">
        <v>634</v>
      </c>
      <c r="D424" s="2">
        <v>45671</v>
      </c>
      <c r="E424" s="1" t="s">
        <v>545</v>
      </c>
    </row>
    <row r="425" spans="1:5" x14ac:dyDescent="0.35">
      <c r="A425" s="1" t="s">
        <v>972</v>
      </c>
      <c r="B425" s="1" t="s">
        <v>451</v>
      </c>
      <c r="C425">
        <v>568</v>
      </c>
      <c r="D425" s="2">
        <v>45775</v>
      </c>
      <c r="E425" s="1" t="s">
        <v>547</v>
      </c>
    </row>
    <row r="426" spans="1:5" x14ac:dyDescent="0.35">
      <c r="A426" s="1" t="s">
        <v>973</v>
      </c>
      <c r="B426" s="1" t="s">
        <v>452</v>
      </c>
      <c r="C426">
        <v>2390</v>
      </c>
      <c r="D426" s="2">
        <v>45701</v>
      </c>
      <c r="E426" s="1" t="s">
        <v>545</v>
      </c>
    </row>
    <row r="427" spans="1:5" x14ac:dyDescent="0.35">
      <c r="A427" s="1" t="s">
        <v>974</v>
      </c>
      <c r="B427" s="1" t="s">
        <v>453</v>
      </c>
      <c r="C427">
        <v>1947</v>
      </c>
      <c r="D427" s="2">
        <v>45760</v>
      </c>
      <c r="E427" s="1" t="s">
        <v>556</v>
      </c>
    </row>
    <row r="428" spans="1:5" x14ac:dyDescent="0.35">
      <c r="A428" s="1" t="s">
        <v>975</v>
      </c>
      <c r="B428" s="1" t="s">
        <v>454</v>
      </c>
      <c r="C428">
        <v>1330</v>
      </c>
      <c r="D428" s="2">
        <v>45723</v>
      </c>
      <c r="E428" s="1" t="s">
        <v>545</v>
      </c>
    </row>
    <row r="429" spans="1:5" x14ac:dyDescent="0.35">
      <c r="A429" s="1" t="s">
        <v>976</v>
      </c>
      <c r="B429" s="1" t="s">
        <v>455</v>
      </c>
      <c r="C429">
        <v>2230</v>
      </c>
      <c r="D429" s="2">
        <v>45748</v>
      </c>
      <c r="E429" s="1" t="s">
        <v>554</v>
      </c>
    </row>
    <row r="430" spans="1:5" x14ac:dyDescent="0.35">
      <c r="A430" s="1" t="s">
        <v>977</v>
      </c>
      <c r="B430" s="1" t="s">
        <v>456</v>
      </c>
      <c r="C430">
        <v>1112</v>
      </c>
      <c r="D430" s="2">
        <v>45721</v>
      </c>
      <c r="E430" s="1" t="s">
        <v>545</v>
      </c>
    </row>
    <row r="431" spans="1:5" x14ac:dyDescent="0.35">
      <c r="A431" s="1" t="s">
        <v>978</v>
      </c>
      <c r="B431" s="1" t="s">
        <v>457</v>
      </c>
      <c r="C431">
        <v>1024</v>
      </c>
      <c r="D431" s="2">
        <v>45740</v>
      </c>
      <c r="E431" s="1" t="s">
        <v>547</v>
      </c>
    </row>
    <row r="432" spans="1:5" x14ac:dyDescent="0.35">
      <c r="A432" s="1" t="s">
        <v>979</v>
      </c>
      <c r="B432" s="1" t="s">
        <v>458</v>
      </c>
      <c r="C432">
        <v>1592</v>
      </c>
      <c r="D432" s="2">
        <v>45726</v>
      </c>
      <c r="E432" s="1" t="s">
        <v>547</v>
      </c>
    </row>
    <row r="433" spans="1:5" x14ac:dyDescent="0.35">
      <c r="A433" s="1" t="s">
        <v>980</v>
      </c>
      <c r="B433" s="1" t="s">
        <v>459</v>
      </c>
      <c r="C433">
        <v>780</v>
      </c>
      <c r="D433" s="2">
        <v>45664</v>
      </c>
      <c r="E433" s="1" t="s">
        <v>545</v>
      </c>
    </row>
    <row r="434" spans="1:5" x14ac:dyDescent="0.35">
      <c r="A434" s="1" t="s">
        <v>981</v>
      </c>
      <c r="B434" s="1" t="s">
        <v>460</v>
      </c>
      <c r="C434">
        <v>1339</v>
      </c>
      <c r="D434" s="2">
        <v>45705</v>
      </c>
      <c r="E434" s="1" t="s">
        <v>547</v>
      </c>
    </row>
    <row r="435" spans="1:5" x14ac:dyDescent="0.35">
      <c r="A435" s="1" t="s">
        <v>982</v>
      </c>
      <c r="B435" s="1" t="s">
        <v>461</v>
      </c>
      <c r="C435">
        <v>1604</v>
      </c>
      <c r="D435" s="2">
        <v>45764</v>
      </c>
      <c r="E435" s="1" t="s">
        <v>547</v>
      </c>
    </row>
    <row r="436" spans="1:5" x14ac:dyDescent="0.35">
      <c r="A436" s="1" t="s">
        <v>983</v>
      </c>
      <c r="B436" s="1" t="s">
        <v>462</v>
      </c>
      <c r="C436">
        <v>2142</v>
      </c>
      <c r="D436" s="2">
        <v>45733</v>
      </c>
      <c r="E436" s="1" t="s">
        <v>545</v>
      </c>
    </row>
    <row r="437" spans="1:5" x14ac:dyDescent="0.35">
      <c r="A437" s="1" t="s">
        <v>984</v>
      </c>
      <c r="B437" s="1" t="s">
        <v>463</v>
      </c>
      <c r="C437">
        <v>1293</v>
      </c>
      <c r="D437" s="2">
        <v>45745</v>
      </c>
      <c r="E437" s="1" t="s">
        <v>563</v>
      </c>
    </row>
    <row r="438" spans="1:5" x14ac:dyDescent="0.35">
      <c r="A438" s="1" t="s">
        <v>985</v>
      </c>
      <c r="B438" s="1" t="s">
        <v>464</v>
      </c>
      <c r="C438">
        <v>2021</v>
      </c>
      <c r="D438" s="2">
        <v>45717</v>
      </c>
      <c r="E438" s="1" t="s">
        <v>563</v>
      </c>
    </row>
    <row r="439" spans="1:5" x14ac:dyDescent="0.35">
      <c r="A439" s="1" t="s">
        <v>986</v>
      </c>
      <c r="B439" s="1" t="s">
        <v>465</v>
      </c>
      <c r="C439">
        <v>1216</v>
      </c>
      <c r="D439" s="2">
        <v>45662</v>
      </c>
      <c r="E439" s="1" t="s">
        <v>556</v>
      </c>
    </row>
    <row r="440" spans="1:5" x14ac:dyDescent="0.35">
      <c r="A440" s="1" t="s">
        <v>987</v>
      </c>
      <c r="B440" s="1" t="s">
        <v>466</v>
      </c>
      <c r="C440">
        <v>572</v>
      </c>
      <c r="D440" s="2">
        <v>45707</v>
      </c>
      <c r="E440" s="1" t="s">
        <v>547</v>
      </c>
    </row>
    <row r="441" spans="1:5" x14ac:dyDescent="0.35">
      <c r="A441" s="1" t="s">
        <v>988</v>
      </c>
      <c r="B441" s="1" t="s">
        <v>467</v>
      </c>
      <c r="C441">
        <v>751</v>
      </c>
      <c r="D441" s="2">
        <v>45771</v>
      </c>
      <c r="E441" s="1" t="s">
        <v>545</v>
      </c>
    </row>
    <row r="442" spans="1:5" x14ac:dyDescent="0.35">
      <c r="A442" s="1" t="s">
        <v>989</v>
      </c>
      <c r="B442" s="1" t="s">
        <v>468</v>
      </c>
      <c r="C442">
        <v>621</v>
      </c>
      <c r="D442" s="2">
        <v>45747</v>
      </c>
      <c r="E442" s="1" t="s">
        <v>547</v>
      </c>
    </row>
    <row r="443" spans="1:5" x14ac:dyDescent="0.35">
      <c r="A443" s="1" t="s">
        <v>990</v>
      </c>
      <c r="B443" s="1" t="s">
        <v>469</v>
      </c>
      <c r="C443">
        <v>1746</v>
      </c>
      <c r="D443" s="2">
        <v>45702</v>
      </c>
      <c r="E443" s="1" t="s">
        <v>554</v>
      </c>
    </row>
    <row r="444" spans="1:5" x14ac:dyDescent="0.35">
      <c r="A444" s="1" t="s">
        <v>991</v>
      </c>
      <c r="B444" s="1" t="s">
        <v>470</v>
      </c>
      <c r="C444">
        <v>792</v>
      </c>
      <c r="D444" s="2">
        <v>45666</v>
      </c>
      <c r="E444" s="1" t="s">
        <v>547</v>
      </c>
    </row>
    <row r="445" spans="1:5" x14ac:dyDescent="0.35">
      <c r="A445" s="1" t="s">
        <v>992</v>
      </c>
      <c r="B445" s="1" t="s">
        <v>471</v>
      </c>
      <c r="C445">
        <v>1113</v>
      </c>
      <c r="D445" s="2">
        <v>45679</v>
      </c>
      <c r="E445" s="1" t="s">
        <v>547</v>
      </c>
    </row>
    <row r="446" spans="1:5" x14ac:dyDescent="0.35">
      <c r="A446" s="1" t="s">
        <v>993</v>
      </c>
      <c r="B446" s="1" t="s">
        <v>472</v>
      </c>
      <c r="C446">
        <v>1683</v>
      </c>
      <c r="D446" s="2">
        <v>45762</v>
      </c>
      <c r="E446" s="1" t="s">
        <v>563</v>
      </c>
    </row>
    <row r="447" spans="1:5" x14ac:dyDescent="0.35">
      <c r="A447" s="1" t="s">
        <v>994</v>
      </c>
      <c r="B447" s="1" t="s">
        <v>473</v>
      </c>
      <c r="C447">
        <v>2168</v>
      </c>
      <c r="D447" s="2">
        <v>45756</v>
      </c>
      <c r="E447" s="1" t="s">
        <v>545</v>
      </c>
    </row>
    <row r="448" spans="1:5" x14ac:dyDescent="0.35">
      <c r="A448" s="1" t="s">
        <v>995</v>
      </c>
      <c r="B448" s="1" t="s">
        <v>474</v>
      </c>
      <c r="C448">
        <v>1097</v>
      </c>
      <c r="D448" s="2">
        <v>45755</v>
      </c>
      <c r="E448" s="1" t="s">
        <v>547</v>
      </c>
    </row>
    <row r="449" spans="1:5" x14ac:dyDescent="0.35">
      <c r="A449" s="1" t="s">
        <v>996</v>
      </c>
      <c r="B449" s="1" t="s">
        <v>475</v>
      </c>
      <c r="C449">
        <v>2024</v>
      </c>
      <c r="D449" s="2">
        <v>45705</v>
      </c>
      <c r="E449" s="1" t="s">
        <v>563</v>
      </c>
    </row>
    <row r="450" spans="1:5" x14ac:dyDescent="0.35">
      <c r="A450" s="1" t="s">
        <v>997</v>
      </c>
      <c r="B450" s="1" t="s">
        <v>476</v>
      </c>
      <c r="C450">
        <v>407</v>
      </c>
      <c r="D450" s="2">
        <v>45721</v>
      </c>
      <c r="E450" s="1" t="s">
        <v>556</v>
      </c>
    </row>
    <row r="451" spans="1:5" x14ac:dyDescent="0.35">
      <c r="A451" s="1" t="s">
        <v>998</v>
      </c>
      <c r="B451" s="1" t="s">
        <v>477</v>
      </c>
      <c r="C451">
        <v>1317</v>
      </c>
      <c r="D451" s="2">
        <v>45669</v>
      </c>
      <c r="E451" s="1" t="s">
        <v>563</v>
      </c>
    </row>
    <row r="452" spans="1:5" x14ac:dyDescent="0.35">
      <c r="A452" s="1" t="s">
        <v>999</v>
      </c>
      <c r="B452" s="1" t="s">
        <v>478</v>
      </c>
      <c r="C452">
        <v>253</v>
      </c>
      <c r="D452" s="2">
        <v>45730</v>
      </c>
      <c r="E452" s="1" t="s">
        <v>563</v>
      </c>
    </row>
    <row r="453" spans="1:5" x14ac:dyDescent="0.35">
      <c r="A453" s="1" t="s">
        <v>1000</v>
      </c>
      <c r="B453" s="1" t="s">
        <v>479</v>
      </c>
      <c r="C453">
        <v>870</v>
      </c>
      <c r="D453" s="2">
        <v>45658</v>
      </c>
      <c r="E453" s="1" t="s">
        <v>563</v>
      </c>
    </row>
    <row r="454" spans="1:5" x14ac:dyDescent="0.35">
      <c r="A454" s="1" t="s">
        <v>1001</v>
      </c>
      <c r="B454" s="1" t="s">
        <v>480</v>
      </c>
      <c r="C454">
        <v>1139</v>
      </c>
      <c r="D454" s="2">
        <v>45746</v>
      </c>
      <c r="E454" s="1" t="s">
        <v>547</v>
      </c>
    </row>
    <row r="455" spans="1:5" x14ac:dyDescent="0.35">
      <c r="A455" s="1" t="s">
        <v>1002</v>
      </c>
      <c r="B455" s="1" t="s">
        <v>481</v>
      </c>
      <c r="C455">
        <v>823</v>
      </c>
      <c r="D455" s="2">
        <v>45662</v>
      </c>
      <c r="E455" s="1" t="s">
        <v>547</v>
      </c>
    </row>
    <row r="456" spans="1:5" x14ac:dyDescent="0.35">
      <c r="A456" s="1" t="s">
        <v>1003</v>
      </c>
      <c r="B456" s="1" t="s">
        <v>482</v>
      </c>
      <c r="C456">
        <v>1014</v>
      </c>
      <c r="D456" s="2">
        <v>45658</v>
      </c>
      <c r="E456" s="1" t="s">
        <v>556</v>
      </c>
    </row>
    <row r="457" spans="1:5" x14ac:dyDescent="0.35">
      <c r="A457" s="1" t="s">
        <v>1004</v>
      </c>
      <c r="B457" s="1" t="s">
        <v>483</v>
      </c>
      <c r="C457">
        <v>1707</v>
      </c>
      <c r="D457" s="2">
        <v>45714</v>
      </c>
      <c r="E457" s="1" t="s">
        <v>554</v>
      </c>
    </row>
    <row r="458" spans="1:5" x14ac:dyDescent="0.35">
      <c r="A458" s="1" t="s">
        <v>1005</v>
      </c>
      <c r="B458" s="1" t="s">
        <v>484</v>
      </c>
      <c r="C458">
        <v>1648</v>
      </c>
      <c r="D458" s="2">
        <v>45708</v>
      </c>
      <c r="E458" s="1" t="s">
        <v>554</v>
      </c>
    </row>
    <row r="459" spans="1:5" x14ac:dyDescent="0.35">
      <c r="A459" s="1" t="s">
        <v>1006</v>
      </c>
      <c r="B459" s="1" t="s">
        <v>485</v>
      </c>
      <c r="C459">
        <v>1072</v>
      </c>
      <c r="D459" s="2">
        <v>45754</v>
      </c>
      <c r="E459" s="1" t="s">
        <v>554</v>
      </c>
    </row>
    <row r="460" spans="1:5" x14ac:dyDescent="0.35">
      <c r="A460" s="1" t="s">
        <v>1007</v>
      </c>
      <c r="B460" s="1" t="s">
        <v>486</v>
      </c>
      <c r="C460">
        <v>1166</v>
      </c>
      <c r="D460" s="2">
        <v>45736</v>
      </c>
      <c r="E460" s="1" t="s">
        <v>556</v>
      </c>
    </row>
    <row r="461" spans="1:5" x14ac:dyDescent="0.35">
      <c r="A461" s="1" t="s">
        <v>1008</v>
      </c>
      <c r="B461" s="1" t="s">
        <v>487</v>
      </c>
      <c r="C461">
        <v>504</v>
      </c>
      <c r="D461" s="2">
        <v>45731</v>
      </c>
      <c r="E461" s="1" t="s">
        <v>554</v>
      </c>
    </row>
    <row r="462" spans="1:5" x14ac:dyDescent="0.35">
      <c r="A462" s="1" t="s">
        <v>1009</v>
      </c>
      <c r="B462" s="1" t="s">
        <v>488</v>
      </c>
      <c r="C462">
        <v>2118</v>
      </c>
      <c r="D462" s="2">
        <v>45669</v>
      </c>
      <c r="E462" s="1" t="s">
        <v>554</v>
      </c>
    </row>
    <row r="463" spans="1:5" x14ac:dyDescent="0.35">
      <c r="A463" s="1" t="s">
        <v>1010</v>
      </c>
      <c r="B463" s="1" t="s">
        <v>489</v>
      </c>
      <c r="C463">
        <v>2074</v>
      </c>
      <c r="D463" s="2">
        <v>45685</v>
      </c>
      <c r="E463" s="1" t="s">
        <v>563</v>
      </c>
    </row>
    <row r="464" spans="1:5" x14ac:dyDescent="0.35">
      <c r="A464" s="1" t="s">
        <v>1011</v>
      </c>
      <c r="B464" s="1" t="s">
        <v>490</v>
      </c>
      <c r="C464">
        <v>1499</v>
      </c>
      <c r="D464" s="2">
        <v>45730</v>
      </c>
      <c r="E464" s="1" t="s">
        <v>547</v>
      </c>
    </row>
    <row r="465" spans="1:5" x14ac:dyDescent="0.35">
      <c r="A465" s="1" t="s">
        <v>1012</v>
      </c>
      <c r="B465" s="1" t="s">
        <v>491</v>
      </c>
      <c r="C465">
        <v>845</v>
      </c>
      <c r="D465" s="2">
        <v>45742</v>
      </c>
      <c r="E465" s="1" t="s">
        <v>547</v>
      </c>
    </row>
    <row r="466" spans="1:5" x14ac:dyDescent="0.35">
      <c r="A466" s="1" t="s">
        <v>1013</v>
      </c>
      <c r="B466" s="1" t="s">
        <v>492</v>
      </c>
      <c r="C466">
        <v>2079</v>
      </c>
      <c r="D466" s="2">
        <v>45720</v>
      </c>
      <c r="E466" s="1" t="s">
        <v>563</v>
      </c>
    </row>
    <row r="467" spans="1:5" x14ac:dyDescent="0.35">
      <c r="A467" s="1" t="s">
        <v>1014</v>
      </c>
      <c r="B467" s="1" t="s">
        <v>493</v>
      </c>
      <c r="C467">
        <v>740</v>
      </c>
      <c r="D467" s="2">
        <v>45770</v>
      </c>
      <c r="E467" s="1" t="s">
        <v>563</v>
      </c>
    </row>
    <row r="468" spans="1:5" x14ac:dyDescent="0.35">
      <c r="A468" s="1" t="s">
        <v>1015</v>
      </c>
      <c r="B468" s="1" t="s">
        <v>494</v>
      </c>
      <c r="C468">
        <v>1516</v>
      </c>
      <c r="D468" s="2">
        <v>45772</v>
      </c>
      <c r="E468" s="1" t="s">
        <v>563</v>
      </c>
    </row>
    <row r="469" spans="1:5" x14ac:dyDescent="0.35">
      <c r="A469" s="1" t="s">
        <v>1016</v>
      </c>
      <c r="B469" s="1" t="s">
        <v>495</v>
      </c>
      <c r="C469">
        <v>1495</v>
      </c>
      <c r="D469" s="2">
        <v>45665</v>
      </c>
      <c r="E469" s="1" t="s">
        <v>547</v>
      </c>
    </row>
    <row r="470" spans="1:5" x14ac:dyDescent="0.35">
      <c r="A470" s="1" t="s">
        <v>1017</v>
      </c>
      <c r="B470" s="1" t="s">
        <v>496</v>
      </c>
      <c r="C470">
        <v>1333</v>
      </c>
      <c r="D470" s="2">
        <v>45721</v>
      </c>
      <c r="E470" s="1" t="s">
        <v>554</v>
      </c>
    </row>
    <row r="471" spans="1:5" x14ac:dyDescent="0.35">
      <c r="A471" s="1" t="s">
        <v>1018</v>
      </c>
      <c r="B471" s="1" t="s">
        <v>497</v>
      </c>
      <c r="C471">
        <v>1725</v>
      </c>
      <c r="D471" s="2">
        <v>45707</v>
      </c>
      <c r="E471" s="1" t="s">
        <v>563</v>
      </c>
    </row>
    <row r="472" spans="1:5" x14ac:dyDescent="0.35">
      <c r="A472" s="1" t="s">
        <v>1019</v>
      </c>
      <c r="B472" s="1" t="s">
        <v>498</v>
      </c>
      <c r="C472">
        <v>2246</v>
      </c>
      <c r="D472" s="2">
        <v>45709</v>
      </c>
      <c r="E472" s="1" t="s">
        <v>556</v>
      </c>
    </row>
    <row r="473" spans="1:5" x14ac:dyDescent="0.35">
      <c r="A473" s="1" t="s">
        <v>1020</v>
      </c>
      <c r="B473" s="1" t="s">
        <v>499</v>
      </c>
      <c r="C473">
        <v>1101</v>
      </c>
      <c r="D473" s="2">
        <v>45690</v>
      </c>
      <c r="E473" s="1" t="s">
        <v>563</v>
      </c>
    </row>
    <row r="474" spans="1:5" x14ac:dyDescent="0.35">
      <c r="A474" s="1" t="s">
        <v>1021</v>
      </c>
      <c r="B474" s="1" t="s">
        <v>500</v>
      </c>
      <c r="C474">
        <v>659</v>
      </c>
      <c r="D474" s="2">
        <v>45683</v>
      </c>
      <c r="E474" s="1" t="s">
        <v>545</v>
      </c>
    </row>
    <row r="475" spans="1:5" x14ac:dyDescent="0.35">
      <c r="A475" s="1" t="s">
        <v>1022</v>
      </c>
      <c r="B475" s="1" t="s">
        <v>501</v>
      </c>
      <c r="C475">
        <v>1911</v>
      </c>
      <c r="D475" s="2">
        <v>45682</v>
      </c>
      <c r="E475" s="1" t="s">
        <v>563</v>
      </c>
    </row>
    <row r="476" spans="1:5" x14ac:dyDescent="0.35">
      <c r="A476" s="1" t="s">
        <v>1023</v>
      </c>
      <c r="B476" s="1" t="s">
        <v>502</v>
      </c>
      <c r="C476">
        <v>1290</v>
      </c>
      <c r="D476" s="2">
        <v>45699</v>
      </c>
      <c r="E476" s="1" t="s">
        <v>547</v>
      </c>
    </row>
    <row r="477" spans="1:5" x14ac:dyDescent="0.35">
      <c r="A477" s="1" t="s">
        <v>1024</v>
      </c>
      <c r="B477" s="1" t="s">
        <v>503</v>
      </c>
      <c r="C477">
        <v>2243</v>
      </c>
      <c r="D477" s="2">
        <v>45730</v>
      </c>
      <c r="E477" s="1" t="s">
        <v>563</v>
      </c>
    </row>
    <row r="478" spans="1:5" x14ac:dyDescent="0.35">
      <c r="A478" s="1" t="s">
        <v>1025</v>
      </c>
      <c r="B478" s="1" t="s">
        <v>504</v>
      </c>
      <c r="C478">
        <v>557</v>
      </c>
      <c r="D478" s="2">
        <v>45727</v>
      </c>
      <c r="E478" s="1" t="s">
        <v>545</v>
      </c>
    </row>
    <row r="479" spans="1:5" x14ac:dyDescent="0.35">
      <c r="A479" s="1" t="s">
        <v>1026</v>
      </c>
      <c r="B479" s="1" t="s">
        <v>505</v>
      </c>
      <c r="C479">
        <v>1047</v>
      </c>
      <c r="D479" s="2">
        <v>45705</v>
      </c>
      <c r="E479" s="1" t="s">
        <v>556</v>
      </c>
    </row>
    <row r="480" spans="1:5" x14ac:dyDescent="0.35">
      <c r="A480" s="1" t="s">
        <v>1027</v>
      </c>
      <c r="B480" s="1" t="s">
        <v>506</v>
      </c>
      <c r="C480">
        <v>1697</v>
      </c>
      <c r="D480" s="2">
        <v>45745</v>
      </c>
      <c r="E480" s="1" t="s">
        <v>554</v>
      </c>
    </row>
    <row r="481" spans="1:5" x14ac:dyDescent="0.35">
      <c r="A481" s="1" t="s">
        <v>1028</v>
      </c>
      <c r="B481" s="1" t="s">
        <v>507</v>
      </c>
      <c r="C481">
        <v>528</v>
      </c>
      <c r="D481" s="2">
        <v>45726</v>
      </c>
      <c r="E481" s="1" t="s">
        <v>563</v>
      </c>
    </row>
    <row r="482" spans="1:5" x14ac:dyDescent="0.35">
      <c r="A482" s="1" t="s">
        <v>1029</v>
      </c>
      <c r="B482" s="1" t="s">
        <v>508</v>
      </c>
      <c r="C482">
        <v>1801</v>
      </c>
      <c r="D482" s="2">
        <v>45679</v>
      </c>
      <c r="E482" s="1" t="s">
        <v>545</v>
      </c>
    </row>
    <row r="483" spans="1:5" x14ac:dyDescent="0.35">
      <c r="A483" s="1" t="s">
        <v>1030</v>
      </c>
      <c r="B483" s="1" t="s">
        <v>509</v>
      </c>
      <c r="C483">
        <v>998</v>
      </c>
      <c r="D483" s="2">
        <v>45772</v>
      </c>
      <c r="E483" s="1" t="s">
        <v>545</v>
      </c>
    </row>
    <row r="484" spans="1:5" x14ac:dyDescent="0.35">
      <c r="A484" s="1" t="s">
        <v>1031</v>
      </c>
      <c r="B484" s="1" t="s">
        <v>510</v>
      </c>
      <c r="C484">
        <v>1668</v>
      </c>
      <c r="D484" s="2">
        <v>45715</v>
      </c>
      <c r="E484" s="1" t="s">
        <v>556</v>
      </c>
    </row>
    <row r="485" spans="1:5" x14ac:dyDescent="0.35">
      <c r="A485" s="1" t="s">
        <v>1032</v>
      </c>
      <c r="B485" s="1" t="s">
        <v>511</v>
      </c>
      <c r="C485">
        <v>2108</v>
      </c>
      <c r="D485" s="2">
        <v>45752</v>
      </c>
      <c r="E485" s="1" t="s">
        <v>547</v>
      </c>
    </row>
    <row r="486" spans="1:5" x14ac:dyDescent="0.35">
      <c r="A486" s="1" t="s">
        <v>1033</v>
      </c>
      <c r="B486" s="1" t="s">
        <v>512</v>
      </c>
      <c r="C486">
        <v>1547</v>
      </c>
      <c r="D486" s="2">
        <v>45724</v>
      </c>
      <c r="E486" s="1" t="s">
        <v>563</v>
      </c>
    </row>
    <row r="487" spans="1:5" x14ac:dyDescent="0.35">
      <c r="A487" s="1" t="s">
        <v>1034</v>
      </c>
      <c r="B487" s="1" t="s">
        <v>513</v>
      </c>
      <c r="C487">
        <v>981</v>
      </c>
      <c r="D487" s="2">
        <v>45686</v>
      </c>
      <c r="E487" s="1" t="s">
        <v>545</v>
      </c>
    </row>
    <row r="488" spans="1:5" x14ac:dyDescent="0.35">
      <c r="A488" s="1" t="s">
        <v>1035</v>
      </c>
      <c r="B488" s="1" t="s">
        <v>514</v>
      </c>
      <c r="C488">
        <v>1866</v>
      </c>
      <c r="D488" s="2">
        <v>45710</v>
      </c>
      <c r="E488" s="1" t="s">
        <v>556</v>
      </c>
    </row>
    <row r="489" spans="1:5" x14ac:dyDescent="0.35">
      <c r="A489" s="1" t="s">
        <v>1036</v>
      </c>
      <c r="B489" s="1" t="s">
        <v>515</v>
      </c>
      <c r="C489">
        <v>465</v>
      </c>
      <c r="D489" s="2">
        <v>45675</v>
      </c>
      <c r="E489" s="1" t="s">
        <v>554</v>
      </c>
    </row>
    <row r="490" spans="1:5" x14ac:dyDescent="0.35">
      <c r="A490" s="1" t="s">
        <v>1037</v>
      </c>
      <c r="B490" s="1" t="s">
        <v>516</v>
      </c>
      <c r="C490">
        <v>1362</v>
      </c>
      <c r="D490" s="2">
        <v>45679</v>
      </c>
      <c r="E490" s="1" t="s">
        <v>545</v>
      </c>
    </row>
    <row r="491" spans="1:5" x14ac:dyDescent="0.35">
      <c r="A491" s="1" t="s">
        <v>1038</v>
      </c>
      <c r="B491" s="1" t="s">
        <v>517</v>
      </c>
      <c r="C491">
        <v>2070</v>
      </c>
      <c r="D491" s="2">
        <v>45765</v>
      </c>
      <c r="E491" s="1" t="s">
        <v>556</v>
      </c>
    </row>
    <row r="492" spans="1:5" x14ac:dyDescent="0.35">
      <c r="A492" s="1" t="s">
        <v>1039</v>
      </c>
      <c r="B492" s="1" t="s">
        <v>518</v>
      </c>
      <c r="C492">
        <v>1103</v>
      </c>
      <c r="D492" s="2">
        <v>45704</v>
      </c>
      <c r="E492" s="1" t="s">
        <v>547</v>
      </c>
    </row>
    <row r="493" spans="1:5" x14ac:dyDescent="0.35">
      <c r="A493" s="1" t="s">
        <v>1040</v>
      </c>
      <c r="B493" s="1" t="s">
        <v>519</v>
      </c>
      <c r="C493">
        <v>1263</v>
      </c>
      <c r="D493" s="2">
        <v>45710</v>
      </c>
      <c r="E493" s="1" t="s">
        <v>547</v>
      </c>
    </row>
    <row r="494" spans="1:5" x14ac:dyDescent="0.35">
      <c r="A494" s="1" t="s">
        <v>1041</v>
      </c>
      <c r="B494" s="1" t="s">
        <v>520</v>
      </c>
      <c r="C494">
        <v>1824</v>
      </c>
      <c r="D494" s="2">
        <v>45670</v>
      </c>
      <c r="E494" s="1" t="s">
        <v>545</v>
      </c>
    </row>
    <row r="495" spans="1:5" x14ac:dyDescent="0.35">
      <c r="A495" s="1" t="s">
        <v>1042</v>
      </c>
      <c r="B495" s="1" t="s">
        <v>521</v>
      </c>
      <c r="C495">
        <v>600</v>
      </c>
      <c r="D495" s="2">
        <v>45728</v>
      </c>
      <c r="E495" s="1" t="s">
        <v>545</v>
      </c>
    </row>
    <row r="496" spans="1:5" x14ac:dyDescent="0.35">
      <c r="A496" s="1" t="s">
        <v>1043</v>
      </c>
      <c r="B496" s="1" t="s">
        <v>522</v>
      </c>
      <c r="C496">
        <v>1153</v>
      </c>
      <c r="D496" s="2">
        <v>45762</v>
      </c>
      <c r="E496" s="1" t="s">
        <v>563</v>
      </c>
    </row>
    <row r="497" spans="1:5" x14ac:dyDescent="0.35">
      <c r="A497" s="1" t="s">
        <v>1044</v>
      </c>
      <c r="B497" s="1" t="s">
        <v>523</v>
      </c>
      <c r="C497">
        <v>974</v>
      </c>
      <c r="D497" s="2">
        <v>45772</v>
      </c>
      <c r="E497" s="1" t="s">
        <v>556</v>
      </c>
    </row>
    <row r="498" spans="1:5" x14ac:dyDescent="0.35">
      <c r="A498" s="1" t="s">
        <v>1045</v>
      </c>
      <c r="B498" s="1" t="s">
        <v>524</v>
      </c>
      <c r="C498">
        <v>1954</v>
      </c>
      <c r="D498" s="2">
        <v>45703</v>
      </c>
      <c r="E498" s="1" t="s">
        <v>545</v>
      </c>
    </row>
    <row r="499" spans="1:5" x14ac:dyDescent="0.35">
      <c r="A499" s="1" t="s">
        <v>1046</v>
      </c>
      <c r="B499" s="1" t="s">
        <v>525</v>
      </c>
      <c r="C499">
        <v>1770</v>
      </c>
      <c r="D499" s="2">
        <v>45678</v>
      </c>
      <c r="E499" s="1" t="s">
        <v>563</v>
      </c>
    </row>
    <row r="500" spans="1:5" x14ac:dyDescent="0.35">
      <c r="A500" s="1" t="s">
        <v>1047</v>
      </c>
      <c r="B500" s="1" t="s">
        <v>526</v>
      </c>
      <c r="C500">
        <v>1313</v>
      </c>
      <c r="D500" s="2">
        <v>45695</v>
      </c>
      <c r="E500" s="1" t="s">
        <v>563</v>
      </c>
    </row>
    <row r="501" spans="1:5" x14ac:dyDescent="0.35">
      <c r="A501" s="1" t="s">
        <v>1048</v>
      </c>
      <c r="B501" s="1" t="s">
        <v>527</v>
      </c>
      <c r="C501">
        <v>768</v>
      </c>
      <c r="D501" s="2">
        <v>45750</v>
      </c>
      <c r="E501" s="1" t="s">
        <v>545</v>
      </c>
    </row>
    <row r="503" spans="1:5" x14ac:dyDescent="0.35">
      <c r="A503" s="22" t="s">
        <v>1072</v>
      </c>
      <c r="B503" s="22"/>
    </row>
    <row r="504" spans="1:5" x14ac:dyDescent="0.35">
      <c r="A504" s="4" t="s">
        <v>1062</v>
      </c>
      <c r="B504" t="s">
        <v>1071</v>
      </c>
    </row>
    <row r="505" spans="1:5" x14ac:dyDescent="0.35">
      <c r="A505" s="8" t="s">
        <v>563</v>
      </c>
      <c r="B505" s="17">
        <v>144694</v>
      </c>
    </row>
    <row r="506" spans="1:5" x14ac:dyDescent="0.35">
      <c r="A506" s="8" t="s">
        <v>554</v>
      </c>
      <c r="B506" s="17">
        <v>143344</v>
      </c>
    </row>
    <row r="507" spans="1:5" x14ac:dyDescent="0.35">
      <c r="A507" s="8" t="s">
        <v>545</v>
      </c>
      <c r="B507" s="17">
        <v>133941</v>
      </c>
    </row>
    <row r="508" spans="1:5" x14ac:dyDescent="0.35">
      <c r="A508" s="8" t="s">
        <v>556</v>
      </c>
      <c r="B508" s="17">
        <v>115497</v>
      </c>
    </row>
    <row r="509" spans="1:5" x14ac:dyDescent="0.35">
      <c r="A509" s="8" t="s">
        <v>547</v>
      </c>
      <c r="B509" s="17">
        <v>112982</v>
      </c>
    </row>
    <row r="510" spans="1:5" x14ac:dyDescent="0.35">
      <c r="A510" s="8" t="s">
        <v>1063</v>
      </c>
      <c r="B510" s="17">
        <v>650458</v>
      </c>
    </row>
  </sheetData>
  <mergeCells count="1">
    <mergeCell ref="A503:B503"/>
  </mergeCells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0825-E7C0-4D2D-B575-54927E1CD3E4}">
  <dimension ref="A1:E61"/>
  <sheetViews>
    <sheetView topLeftCell="A75" workbookViewId="0">
      <selection activeCell="D53" sqref="A27:D53"/>
    </sheetView>
  </sheetViews>
  <sheetFormatPr defaultRowHeight="14.5" x14ac:dyDescent="0.35"/>
  <cols>
    <col min="1" max="1" width="12.36328125" bestFit="1" customWidth="1"/>
    <col min="2" max="2" width="18.26953125" bestFit="1" customWidth="1"/>
    <col min="3" max="3" width="17.26953125" bestFit="1" customWidth="1"/>
    <col min="4" max="4" width="16.54296875" bestFit="1" customWidth="1"/>
    <col min="5" max="5" width="12.6328125" bestFit="1" customWidth="1"/>
  </cols>
  <sheetData>
    <row r="1" spans="1:5" x14ac:dyDescent="0.35">
      <c r="A1" t="s">
        <v>1</v>
      </c>
      <c r="B1" t="s">
        <v>2</v>
      </c>
      <c r="C1" t="s">
        <v>535</v>
      </c>
      <c r="D1" t="s">
        <v>536</v>
      </c>
      <c r="E1" t="s">
        <v>537</v>
      </c>
    </row>
    <row r="2" spans="1:5" x14ac:dyDescent="0.35">
      <c r="A2" s="1" t="s">
        <v>48</v>
      </c>
      <c r="B2" s="1" t="s">
        <v>11</v>
      </c>
      <c r="C2">
        <v>1187</v>
      </c>
      <c r="D2">
        <v>205</v>
      </c>
      <c r="E2" s="1" t="s">
        <v>538</v>
      </c>
    </row>
    <row r="3" spans="1:5" x14ac:dyDescent="0.35">
      <c r="A3" s="1" t="s">
        <v>48</v>
      </c>
      <c r="B3" s="1" t="s">
        <v>17</v>
      </c>
      <c r="C3">
        <v>370</v>
      </c>
      <c r="D3">
        <v>262</v>
      </c>
      <c r="E3" s="1" t="s">
        <v>538</v>
      </c>
    </row>
    <row r="4" spans="1:5" x14ac:dyDescent="0.35">
      <c r="A4" s="1" t="s">
        <v>48</v>
      </c>
      <c r="B4" s="1" t="s">
        <v>25</v>
      </c>
      <c r="C4">
        <v>963</v>
      </c>
      <c r="D4">
        <v>153</v>
      </c>
      <c r="E4" s="1" t="s">
        <v>539</v>
      </c>
    </row>
    <row r="5" spans="1:5" x14ac:dyDescent="0.35">
      <c r="A5" s="1" t="s">
        <v>48</v>
      </c>
      <c r="B5" s="1" t="s">
        <v>32</v>
      </c>
      <c r="C5">
        <v>655</v>
      </c>
      <c r="D5">
        <v>225</v>
      </c>
      <c r="E5" s="1" t="s">
        <v>538</v>
      </c>
    </row>
    <row r="6" spans="1:5" x14ac:dyDescent="0.35">
      <c r="A6" s="1" t="s">
        <v>27</v>
      </c>
      <c r="B6" s="1" t="s">
        <v>11</v>
      </c>
      <c r="C6">
        <v>812</v>
      </c>
      <c r="D6">
        <v>204</v>
      </c>
      <c r="E6" s="1" t="s">
        <v>538</v>
      </c>
    </row>
    <row r="7" spans="1:5" x14ac:dyDescent="0.35">
      <c r="A7" s="1" t="s">
        <v>27</v>
      </c>
      <c r="B7" s="1" t="s">
        <v>17</v>
      </c>
      <c r="C7">
        <v>650</v>
      </c>
      <c r="D7">
        <v>157</v>
      </c>
      <c r="E7" s="1" t="s">
        <v>538</v>
      </c>
    </row>
    <row r="8" spans="1:5" x14ac:dyDescent="0.35">
      <c r="A8" s="1" t="s">
        <v>27</v>
      </c>
      <c r="B8" s="1" t="s">
        <v>25</v>
      </c>
      <c r="C8">
        <v>209</v>
      </c>
      <c r="D8">
        <v>277</v>
      </c>
      <c r="E8" s="1" t="s">
        <v>538</v>
      </c>
    </row>
    <row r="9" spans="1:5" x14ac:dyDescent="0.35">
      <c r="A9" s="1" t="s">
        <v>27</v>
      </c>
      <c r="B9" s="1" t="s">
        <v>32</v>
      </c>
      <c r="C9">
        <v>959</v>
      </c>
      <c r="D9">
        <v>296</v>
      </c>
      <c r="E9" s="1" t="s">
        <v>539</v>
      </c>
    </row>
    <row r="10" spans="1:5" x14ac:dyDescent="0.35">
      <c r="A10" s="1" t="s">
        <v>20</v>
      </c>
      <c r="B10" s="1" t="s">
        <v>11</v>
      </c>
      <c r="C10">
        <v>698</v>
      </c>
      <c r="D10">
        <v>178</v>
      </c>
      <c r="E10" s="1" t="s">
        <v>538</v>
      </c>
    </row>
    <row r="11" spans="1:5" x14ac:dyDescent="0.35">
      <c r="A11" s="1" t="s">
        <v>20</v>
      </c>
      <c r="B11" s="1" t="s">
        <v>17</v>
      </c>
      <c r="C11">
        <v>804</v>
      </c>
      <c r="D11">
        <v>120</v>
      </c>
      <c r="E11" s="1" t="s">
        <v>538</v>
      </c>
    </row>
    <row r="12" spans="1:5" x14ac:dyDescent="0.35">
      <c r="A12" s="1" t="s">
        <v>20</v>
      </c>
      <c r="B12" s="1" t="s">
        <v>25</v>
      </c>
      <c r="C12">
        <v>1179</v>
      </c>
      <c r="D12">
        <v>197</v>
      </c>
      <c r="E12" s="1" t="s">
        <v>539</v>
      </c>
    </row>
    <row r="13" spans="1:5" x14ac:dyDescent="0.35">
      <c r="A13" s="1" t="s">
        <v>20</v>
      </c>
      <c r="B13" s="1" t="s">
        <v>32</v>
      </c>
      <c r="C13">
        <v>874</v>
      </c>
      <c r="D13">
        <v>148</v>
      </c>
      <c r="E13" s="1" t="s">
        <v>539</v>
      </c>
    </row>
    <row r="14" spans="1:5" x14ac:dyDescent="0.35">
      <c r="A14" s="1" t="s">
        <v>10</v>
      </c>
      <c r="B14" s="1" t="s">
        <v>11</v>
      </c>
      <c r="C14">
        <v>802</v>
      </c>
      <c r="D14">
        <v>139</v>
      </c>
      <c r="E14" s="1" t="s">
        <v>538</v>
      </c>
    </row>
    <row r="15" spans="1:5" x14ac:dyDescent="0.35">
      <c r="A15" s="1" t="s">
        <v>10</v>
      </c>
      <c r="B15" s="1" t="s">
        <v>17</v>
      </c>
      <c r="C15">
        <v>473</v>
      </c>
      <c r="D15">
        <v>222</v>
      </c>
      <c r="E15" s="1" t="s">
        <v>538</v>
      </c>
    </row>
    <row r="16" spans="1:5" x14ac:dyDescent="0.35">
      <c r="A16" s="1" t="s">
        <v>10</v>
      </c>
      <c r="B16" s="1" t="s">
        <v>25</v>
      </c>
      <c r="C16">
        <v>1179</v>
      </c>
      <c r="D16">
        <v>230</v>
      </c>
      <c r="E16" s="1" t="s">
        <v>538</v>
      </c>
    </row>
    <row r="17" spans="1:5" x14ac:dyDescent="0.35">
      <c r="A17" s="1" t="s">
        <v>10</v>
      </c>
      <c r="B17" s="1" t="s">
        <v>32</v>
      </c>
      <c r="C17">
        <v>523</v>
      </c>
      <c r="D17">
        <v>242</v>
      </c>
      <c r="E17" s="1" t="s">
        <v>538</v>
      </c>
    </row>
    <row r="18" spans="1:5" x14ac:dyDescent="0.35">
      <c r="A18" s="1" t="s">
        <v>16</v>
      </c>
      <c r="B18" s="1" t="s">
        <v>11</v>
      </c>
      <c r="C18">
        <v>257</v>
      </c>
      <c r="D18">
        <v>203</v>
      </c>
      <c r="E18" s="1" t="s">
        <v>539</v>
      </c>
    </row>
    <row r="19" spans="1:5" x14ac:dyDescent="0.35">
      <c r="A19" s="1" t="s">
        <v>16</v>
      </c>
      <c r="B19" s="1" t="s">
        <v>17</v>
      </c>
      <c r="C19">
        <v>827</v>
      </c>
      <c r="D19">
        <v>136</v>
      </c>
      <c r="E19" s="1" t="s">
        <v>538</v>
      </c>
    </row>
    <row r="20" spans="1:5" x14ac:dyDescent="0.35">
      <c r="A20" s="1" t="s">
        <v>16</v>
      </c>
      <c r="B20" s="1" t="s">
        <v>25</v>
      </c>
      <c r="C20">
        <v>914</v>
      </c>
      <c r="D20">
        <v>90</v>
      </c>
      <c r="E20" s="1" t="s">
        <v>538</v>
      </c>
    </row>
    <row r="21" spans="1:5" x14ac:dyDescent="0.35">
      <c r="A21" s="1" t="s">
        <v>16</v>
      </c>
      <c r="B21" s="1" t="s">
        <v>32</v>
      </c>
      <c r="C21">
        <v>1089</v>
      </c>
      <c r="D21">
        <v>242</v>
      </c>
      <c r="E21" s="1" t="s">
        <v>538</v>
      </c>
    </row>
    <row r="22" spans="1:5" x14ac:dyDescent="0.35">
      <c r="A22" s="1" t="s">
        <v>37</v>
      </c>
      <c r="B22" s="1" t="s">
        <v>11</v>
      </c>
      <c r="C22">
        <v>553</v>
      </c>
      <c r="D22">
        <v>297</v>
      </c>
      <c r="E22" s="1" t="s">
        <v>538</v>
      </c>
    </row>
    <row r="23" spans="1:5" x14ac:dyDescent="0.35">
      <c r="A23" s="1" t="s">
        <v>37</v>
      </c>
      <c r="B23" s="1" t="s">
        <v>17</v>
      </c>
      <c r="C23">
        <v>932</v>
      </c>
      <c r="D23">
        <v>117</v>
      </c>
      <c r="E23" s="1" t="s">
        <v>538</v>
      </c>
    </row>
    <row r="24" spans="1:5" x14ac:dyDescent="0.35">
      <c r="A24" s="1" t="s">
        <v>37</v>
      </c>
      <c r="B24" s="1" t="s">
        <v>25</v>
      </c>
      <c r="C24">
        <v>850</v>
      </c>
      <c r="D24">
        <v>105</v>
      </c>
      <c r="E24" s="1" t="s">
        <v>538</v>
      </c>
    </row>
    <row r="25" spans="1:5" x14ac:dyDescent="0.35">
      <c r="A25" s="1" t="s">
        <v>37</v>
      </c>
      <c r="B25" s="1" t="s">
        <v>32</v>
      </c>
      <c r="C25">
        <v>298</v>
      </c>
      <c r="D25">
        <v>125</v>
      </c>
      <c r="E25" s="1" t="s">
        <v>539</v>
      </c>
    </row>
    <row r="26" spans="1:5" ht="15" thickBot="1" x14ac:dyDescent="0.4"/>
    <row r="27" spans="1:5" ht="15" thickBot="1" x14ac:dyDescent="0.4">
      <c r="A27" s="19" t="s">
        <v>1075</v>
      </c>
      <c r="B27" s="20"/>
      <c r="C27" s="21"/>
    </row>
    <row r="28" spans="1:5" x14ac:dyDescent="0.35">
      <c r="A28" s="11" t="s">
        <v>1062</v>
      </c>
      <c r="B28" s="12" t="s">
        <v>1073</v>
      </c>
      <c r="C28" s="12" t="s">
        <v>1074</v>
      </c>
    </row>
    <row r="29" spans="1:5" x14ac:dyDescent="0.35">
      <c r="A29" s="8" t="s">
        <v>37</v>
      </c>
      <c r="B29" s="17">
        <v>658.25</v>
      </c>
      <c r="C29" s="17">
        <v>161</v>
      </c>
    </row>
    <row r="30" spans="1:5" x14ac:dyDescent="0.35">
      <c r="A30" s="8" t="s">
        <v>16</v>
      </c>
      <c r="B30" s="17">
        <v>771.75</v>
      </c>
      <c r="C30" s="17">
        <v>167.75</v>
      </c>
    </row>
    <row r="31" spans="1:5" x14ac:dyDescent="0.35">
      <c r="A31" s="8" t="s">
        <v>20</v>
      </c>
      <c r="B31" s="17">
        <v>888.75</v>
      </c>
      <c r="C31" s="17">
        <v>160.75</v>
      </c>
    </row>
    <row r="32" spans="1:5" x14ac:dyDescent="0.35">
      <c r="A32" s="8" t="s">
        <v>27</v>
      </c>
      <c r="B32" s="17">
        <v>657.5</v>
      </c>
      <c r="C32" s="17">
        <v>233.5</v>
      </c>
    </row>
    <row r="33" spans="1:3" x14ac:dyDescent="0.35">
      <c r="A33" s="8" t="s">
        <v>10</v>
      </c>
      <c r="B33" s="17">
        <v>744.25</v>
      </c>
      <c r="C33" s="17">
        <v>208.25</v>
      </c>
    </row>
    <row r="34" spans="1:3" x14ac:dyDescent="0.35">
      <c r="A34" s="8" t="s">
        <v>48</v>
      </c>
      <c r="B34" s="17">
        <v>793.75</v>
      </c>
      <c r="C34" s="17">
        <v>211.25</v>
      </c>
    </row>
    <row r="35" spans="1:3" x14ac:dyDescent="0.35">
      <c r="A35" s="8" t="s">
        <v>1063</v>
      </c>
      <c r="B35" s="17">
        <v>752.375</v>
      </c>
      <c r="C35" s="17">
        <v>190.41666666666666</v>
      </c>
    </row>
    <row r="54" spans="1:4" ht="15" thickBot="1" x14ac:dyDescent="0.4"/>
    <row r="55" spans="1:4" ht="15" thickBot="1" x14ac:dyDescent="0.4">
      <c r="A55" s="23" t="s">
        <v>1078</v>
      </c>
      <c r="B55" s="24"/>
      <c r="C55" s="24"/>
      <c r="D55" s="25"/>
    </row>
    <row r="56" spans="1:4" x14ac:dyDescent="0.35">
      <c r="A56" s="11" t="s">
        <v>1062</v>
      </c>
      <c r="B56" s="12" t="s">
        <v>1077</v>
      </c>
      <c r="C56" s="12" t="s">
        <v>1073</v>
      </c>
      <c r="D56" s="12" t="s">
        <v>1074</v>
      </c>
    </row>
    <row r="57" spans="1:4" x14ac:dyDescent="0.35">
      <c r="A57" s="8" t="s">
        <v>25</v>
      </c>
      <c r="B57" s="10">
        <v>6</v>
      </c>
      <c r="C57" s="10">
        <v>882.33333333333337</v>
      </c>
      <c r="D57" s="10">
        <v>175.33333333333334</v>
      </c>
    </row>
    <row r="58" spans="1:4" x14ac:dyDescent="0.35">
      <c r="A58" s="8" t="s">
        <v>32</v>
      </c>
      <c r="B58" s="10">
        <v>6</v>
      </c>
      <c r="C58" s="10">
        <v>733</v>
      </c>
      <c r="D58" s="10">
        <v>213</v>
      </c>
    </row>
    <row r="59" spans="1:4" x14ac:dyDescent="0.35">
      <c r="A59" s="8" t="s">
        <v>17</v>
      </c>
      <c r="B59" s="10">
        <v>6</v>
      </c>
      <c r="C59" s="10">
        <v>676</v>
      </c>
      <c r="D59" s="10">
        <v>169</v>
      </c>
    </row>
    <row r="60" spans="1:4" x14ac:dyDescent="0.35">
      <c r="A60" s="8" t="s">
        <v>11</v>
      </c>
      <c r="B60" s="10">
        <v>6</v>
      </c>
      <c r="C60" s="10">
        <v>718.16666666666663</v>
      </c>
      <c r="D60" s="10">
        <v>204.33333333333334</v>
      </c>
    </row>
    <row r="61" spans="1:4" x14ac:dyDescent="0.35">
      <c r="A61" s="8" t="s">
        <v>1063</v>
      </c>
      <c r="B61" s="10">
        <v>24</v>
      </c>
      <c r="C61" s="10">
        <v>752.375</v>
      </c>
      <c r="D61" s="10">
        <v>190.41666666666666</v>
      </c>
    </row>
  </sheetData>
  <mergeCells count="2">
    <mergeCell ref="A27:C27"/>
    <mergeCell ref="A55:D55"/>
  </mergeCells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FCAB-0DED-4D9A-8741-4588C59A7762}">
  <dimension ref="A1:M161"/>
  <sheetViews>
    <sheetView topLeftCell="A169" zoomScale="50" zoomScaleNormal="50" workbookViewId="0">
      <selection activeCell="A180" sqref="A126:F180"/>
    </sheetView>
  </sheetViews>
  <sheetFormatPr defaultRowHeight="14.5" x14ac:dyDescent="0.35"/>
  <cols>
    <col min="1" max="1" width="13.36328125" bestFit="1" customWidth="1"/>
    <col min="2" max="2" width="21.08984375" bestFit="1" customWidth="1"/>
    <col min="3" max="3" width="18.6328125" bestFit="1" customWidth="1"/>
    <col min="4" max="4" width="21.08984375" bestFit="1" customWidth="1"/>
    <col min="5" max="5" width="18.6328125" bestFit="1" customWidth="1"/>
    <col min="6" max="6" width="21.08984375" bestFit="1" customWidth="1"/>
    <col min="7" max="7" width="18.6328125" bestFit="1" customWidth="1"/>
    <col min="8" max="8" width="21.08984375" bestFit="1" customWidth="1"/>
    <col min="9" max="9" width="18.6328125" bestFit="1" customWidth="1"/>
    <col min="10" max="10" width="26.08984375" bestFit="1" customWidth="1"/>
    <col min="11" max="11" width="23.54296875" bestFit="1" customWidth="1"/>
    <col min="12" max="12" width="13.08984375" bestFit="1" customWidth="1"/>
    <col min="13" max="13" width="16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1081</v>
      </c>
      <c r="H1" t="s">
        <v>6</v>
      </c>
      <c r="I1" t="s">
        <v>7</v>
      </c>
      <c r="J1" t="s">
        <v>8</v>
      </c>
      <c r="K1" t="s">
        <v>528</v>
      </c>
      <c r="L1" t="s">
        <v>529</v>
      </c>
      <c r="M1" t="s">
        <v>530</v>
      </c>
    </row>
    <row r="2" spans="1:13" x14ac:dyDescent="0.35">
      <c r="A2" s="1" t="s">
        <v>15</v>
      </c>
      <c r="B2" s="1" t="s">
        <v>16</v>
      </c>
      <c r="C2" s="1" t="s">
        <v>17</v>
      </c>
      <c r="D2" s="1" t="s">
        <v>12</v>
      </c>
      <c r="E2">
        <v>1416</v>
      </c>
      <c r="F2">
        <v>51</v>
      </c>
      <c r="G2">
        <f>Refunds[[#This Row],[RefundDate]]-Refunds[[#This Row],[SaleDate]]</f>
        <v>27</v>
      </c>
      <c r="H2" s="1" t="s">
        <v>13</v>
      </c>
      <c r="I2" s="1" t="s">
        <v>18</v>
      </c>
      <c r="J2" s="2">
        <v>45670</v>
      </c>
      <c r="K2">
        <v>1381.1470770737874</v>
      </c>
      <c r="L2" s="2">
        <v>45697</v>
      </c>
      <c r="M2" s="1" t="s">
        <v>531</v>
      </c>
    </row>
    <row r="3" spans="1:13" x14ac:dyDescent="0.35">
      <c r="A3" s="1" t="s">
        <v>19</v>
      </c>
      <c r="B3" s="1" t="s">
        <v>20</v>
      </c>
      <c r="C3" s="1" t="s">
        <v>17</v>
      </c>
      <c r="D3" s="1" t="s">
        <v>21</v>
      </c>
      <c r="E3">
        <v>1666</v>
      </c>
      <c r="F3">
        <v>342</v>
      </c>
      <c r="G3">
        <f>Refunds[[#This Row],[RefundDate]]-Refunds[[#This Row],[SaleDate]]</f>
        <v>24</v>
      </c>
      <c r="H3" s="1" t="s">
        <v>13</v>
      </c>
      <c r="I3" s="1" t="s">
        <v>14</v>
      </c>
      <c r="J3" s="2">
        <v>45730</v>
      </c>
      <c r="K3">
        <v>1418.2162377784941</v>
      </c>
      <c r="L3" s="2">
        <v>45754</v>
      </c>
      <c r="M3" s="1" t="s">
        <v>531</v>
      </c>
    </row>
    <row r="4" spans="1:13" x14ac:dyDescent="0.35">
      <c r="A4" s="1" t="s">
        <v>29</v>
      </c>
      <c r="B4" s="1" t="s">
        <v>20</v>
      </c>
      <c r="C4" s="1" t="s">
        <v>17</v>
      </c>
      <c r="D4" s="1" t="s">
        <v>12</v>
      </c>
      <c r="E4">
        <v>974</v>
      </c>
      <c r="F4">
        <v>160</v>
      </c>
      <c r="G4">
        <f>Refunds[[#This Row],[RefundDate]]-Refunds[[#This Row],[SaleDate]]</f>
        <v>21</v>
      </c>
      <c r="H4" s="1" t="s">
        <v>13</v>
      </c>
      <c r="I4" s="1" t="s">
        <v>14</v>
      </c>
      <c r="J4" s="2">
        <v>45770</v>
      </c>
      <c r="K4">
        <v>632.1514256074089</v>
      </c>
      <c r="L4" s="2">
        <v>45791</v>
      </c>
      <c r="M4" s="1" t="s">
        <v>532</v>
      </c>
    </row>
    <row r="5" spans="1:13" x14ac:dyDescent="0.35">
      <c r="A5" s="1" t="s">
        <v>35</v>
      </c>
      <c r="B5" s="1" t="s">
        <v>20</v>
      </c>
      <c r="C5" s="1" t="s">
        <v>32</v>
      </c>
      <c r="D5" s="1" t="s">
        <v>12</v>
      </c>
      <c r="E5">
        <v>655</v>
      </c>
      <c r="F5">
        <v>179</v>
      </c>
      <c r="G5">
        <f>Refunds[[#This Row],[RefundDate]]-Refunds[[#This Row],[SaleDate]]</f>
        <v>3</v>
      </c>
      <c r="H5" s="1" t="s">
        <v>13</v>
      </c>
      <c r="I5" s="1" t="s">
        <v>14</v>
      </c>
      <c r="J5" s="2">
        <v>45713</v>
      </c>
      <c r="K5">
        <v>362.00701203715545</v>
      </c>
      <c r="L5" s="2">
        <v>45716</v>
      </c>
      <c r="M5" s="1" t="s">
        <v>531</v>
      </c>
    </row>
    <row r="6" spans="1:13" x14ac:dyDescent="0.35">
      <c r="A6" s="1" t="s">
        <v>40</v>
      </c>
      <c r="B6" s="1" t="s">
        <v>10</v>
      </c>
      <c r="C6" s="1" t="s">
        <v>25</v>
      </c>
      <c r="D6" s="1" t="s">
        <v>12</v>
      </c>
      <c r="E6">
        <v>1946</v>
      </c>
      <c r="F6">
        <v>394</v>
      </c>
      <c r="G6">
        <f>Refunds[[#This Row],[RefundDate]]-Refunds[[#This Row],[SaleDate]]</f>
        <v>24</v>
      </c>
      <c r="H6" s="1" t="s">
        <v>13</v>
      </c>
      <c r="I6" s="1" t="s">
        <v>14</v>
      </c>
      <c r="J6" s="2">
        <v>45772</v>
      </c>
      <c r="K6">
        <v>1733.7146190346225</v>
      </c>
      <c r="L6" s="2">
        <v>45796</v>
      </c>
      <c r="M6" s="1" t="s">
        <v>532</v>
      </c>
    </row>
    <row r="7" spans="1:13" x14ac:dyDescent="0.35">
      <c r="A7" s="1" t="s">
        <v>53</v>
      </c>
      <c r="B7" s="1" t="s">
        <v>16</v>
      </c>
      <c r="C7" s="1" t="s">
        <v>32</v>
      </c>
      <c r="D7" s="1" t="s">
        <v>12</v>
      </c>
      <c r="E7">
        <v>1663</v>
      </c>
      <c r="F7">
        <v>59</v>
      </c>
      <c r="G7">
        <f>Refunds[[#This Row],[RefundDate]]-Refunds[[#This Row],[SaleDate]]</f>
        <v>18</v>
      </c>
      <c r="H7" s="1" t="s">
        <v>13</v>
      </c>
      <c r="I7" s="1" t="s">
        <v>14</v>
      </c>
      <c r="J7" s="2">
        <v>45745</v>
      </c>
      <c r="K7">
        <v>1367.1100776572241</v>
      </c>
      <c r="L7" s="2">
        <v>45763</v>
      </c>
      <c r="M7" s="1" t="s">
        <v>533</v>
      </c>
    </row>
    <row r="8" spans="1:13" x14ac:dyDescent="0.35">
      <c r="A8" s="1" t="s">
        <v>55</v>
      </c>
      <c r="B8" s="1" t="s">
        <v>48</v>
      </c>
      <c r="C8" s="1" t="s">
        <v>17</v>
      </c>
      <c r="D8" s="1" t="s">
        <v>21</v>
      </c>
      <c r="E8">
        <v>839</v>
      </c>
      <c r="F8">
        <v>167</v>
      </c>
      <c r="G8">
        <f>Refunds[[#This Row],[RefundDate]]-Refunds[[#This Row],[SaleDate]]</f>
        <v>35</v>
      </c>
      <c r="H8" s="1" t="s">
        <v>13</v>
      </c>
      <c r="I8" s="1" t="s">
        <v>18</v>
      </c>
      <c r="J8" s="2">
        <v>45694</v>
      </c>
      <c r="K8">
        <v>439.71403219898775</v>
      </c>
      <c r="L8" s="2">
        <v>45729</v>
      </c>
      <c r="M8" s="1" t="s">
        <v>533</v>
      </c>
    </row>
    <row r="9" spans="1:13" x14ac:dyDescent="0.35">
      <c r="A9" s="1" t="s">
        <v>63</v>
      </c>
      <c r="B9" s="1" t="s">
        <v>37</v>
      </c>
      <c r="C9" s="1" t="s">
        <v>32</v>
      </c>
      <c r="D9" s="1" t="s">
        <v>21</v>
      </c>
      <c r="E9">
        <v>930</v>
      </c>
      <c r="F9">
        <v>182</v>
      </c>
      <c r="G9">
        <f>Refunds[[#This Row],[RefundDate]]-Refunds[[#This Row],[SaleDate]]</f>
        <v>9</v>
      </c>
      <c r="H9" s="1" t="s">
        <v>13</v>
      </c>
      <c r="I9" s="1" t="s">
        <v>14</v>
      </c>
      <c r="J9" s="2">
        <v>45750</v>
      </c>
      <c r="K9">
        <v>632.42346664395495</v>
      </c>
      <c r="L9" s="2">
        <v>45759</v>
      </c>
      <c r="M9" s="1" t="s">
        <v>532</v>
      </c>
    </row>
    <row r="10" spans="1:13" x14ac:dyDescent="0.35">
      <c r="A10" s="1" t="s">
        <v>65</v>
      </c>
      <c r="B10" s="1" t="s">
        <v>20</v>
      </c>
      <c r="C10" s="1" t="s">
        <v>25</v>
      </c>
      <c r="D10" s="1" t="s">
        <v>12</v>
      </c>
      <c r="E10">
        <v>1042</v>
      </c>
      <c r="F10">
        <v>313</v>
      </c>
      <c r="G10">
        <f>Refunds[[#This Row],[RefundDate]]-Refunds[[#This Row],[SaleDate]]</f>
        <v>23</v>
      </c>
      <c r="H10" s="1" t="s">
        <v>13</v>
      </c>
      <c r="I10" s="1" t="s">
        <v>18</v>
      </c>
      <c r="J10" s="2">
        <v>45735</v>
      </c>
      <c r="K10">
        <v>1019.492703867313</v>
      </c>
      <c r="L10" s="2">
        <v>45758</v>
      </c>
      <c r="M10" s="1" t="s">
        <v>534</v>
      </c>
    </row>
    <row r="11" spans="1:13" x14ac:dyDescent="0.35">
      <c r="A11" s="1" t="s">
        <v>75</v>
      </c>
      <c r="B11" s="1" t="s">
        <v>10</v>
      </c>
      <c r="C11" s="1" t="s">
        <v>11</v>
      </c>
      <c r="D11" s="1" t="s">
        <v>12</v>
      </c>
      <c r="E11">
        <v>784</v>
      </c>
      <c r="F11">
        <v>214</v>
      </c>
      <c r="G11">
        <f>Refunds[[#This Row],[RefundDate]]-Refunds[[#This Row],[SaleDate]]</f>
        <v>4</v>
      </c>
      <c r="H11" s="1" t="s">
        <v>13</v>
      </c>
      <c r="I11" s="1" t="s">
        <v>33</v>
      </c>
      <c r="J11" s="2">
        <v>45769</v>
      </c>
      <c r="K11">
        <v>588.15724911839891</v>
      </c>
      <c r="L11" s="2">
        <v>45773</v>
      </c>
      <c r="M11" s="1" t="s">
        <v>533</v>
      </c>
    </row>
    <row r="12" spans="1:13" x14ac:dyDescent="0.35">
      <c r="A12" s="1" t="s">
        <v>76</v>
      </c>
      <c r="B12" s="1" t="s">
        <v>48</v>
      </c>
      <c r="C12" s="1" t="s">
        <v>11</v>
      </c>
      <c r="D12" s="1" t="s">
        <v>12</v>
      </c>
      <c r="E12">
        <v>1137</v>
      </c>
      <c r="F12">
        <v>354</v>
      </c>
      <c r="G12">
        <f>Refunds[[#This Row],[RefundDate]]-Refunds[[#This Row],[SaleDate]]</f>
        <v>45</v>
      </c>
      <c r="H12" s="1" t="s">
        <v>13</v>
      </c>
      <c r="I12" s="1" t="s">
        <v>14</v>
      </c>
      <c r="J12" s="2">
        <v>45731</v>
      </c>
      <c r="K12">
        <v>814.50651382720207</v>
      </c>
      <c r="L12" s="2">
        <v>45776</v>
      </c>
      <c r="M12" s="1" t="s">
        <v>531</v>
      </c>
    </row>
    <row r="13" spans="1:13" x14ac:dyDescent="0.35">
      <c r="A13" s="1" t="s">
        <v>77</v>
      </c>
      <c r="B13" s="1" t="s">
        <v>10</v>
      </c>
      <c r="C13" s="1" t="s">
        <v>32</v>
      </c>
      <c r="D13" s="1" t="s">
        <v>12</v>
      </c>
      <c r="E13">
        <v>1714</v>
      </c>
      <c r="F13">
        <v>169</v>
      </c>
      <c r="G13">
        <f>Refunds[[#This Row],[RefundDate]]-Refunds[[#This Row],[SaleDate]]</f>
        <v>37</v>
      </c>
      <c r="H13" s="1" t="s">
        <v>13</v>
      </c>
      <c r="I13" s="1" t="s">
        <v>33</v>
      </c>
      <c r="J13" s="2">
        <v>45765</v>
      </c>
      <c r="K13">
        <v>1249.2485616215151</v>
      </c>
      <c r="L13" s="2">
        <v>45802</v>
      </c>
      <c r="M13" s="1" t="s">
        <v>532</v>
      </c>
    </row>
    <row r="14" spans="1:13" x14ac:dyDescent="0.35">
      <c r="A14" s="1" t="s">
        <v>78</v>
      </c>
      <c r="B14" s="1" t="s">
        <v>37</v>
      </c>
      <c r="C14" s="1" t="s">
        <v>17</v>
      </c>
      <c r="D14" s="1" t="s">
        <v>12</v>
      </c>
      <c r="E14">
        <v>1822</v>
      </c>
      <c r="F14">
        <v>93</v>
      </c>
      <c r="G14">
        <f>Refunds[[#This Row],[RefundDate]]-Refunds[[#This Row],[SaleDate]]</f>
        <v>39</v>
      </c>
      <c r="H14" s="1" t="s">
        <v>13</v>
      </c>
      <c r="I14" s="1" t="s">
        <v>14</v>
      </c>
      <c r="J14" s="2">
        <v>45778</v>
      </c>
      <c r="K14">
        <v>1101.2921615687042</v>
      </c>
      <c r="L14" s="2">
        <v>45817</v>
      </c>
      <c r="M14" s="1" t="s">
        <v>531</v>
      </c>
    </row>
    <row r="15" spans="1:13" x14ac:dyDescent="0.35">
      <c r="A15" s="1" t="s">
        <v>81</v>
      </c>
      <c r="B15" s="1" t="s">
        <v>48</v>
      </c>
      <c r="C15" s="1" t="s">
        <v>11</v>
      </c>
      <c r="D15" s="1" t="s">
        <v>21</v>
      </c>
      <c r="E15">
        <v>887</v>
      </c>
      <c r="F15">
        <v>256</v>
      </c>
      <c r="G15">
        <f>Refunds[[#This Row],[RefundDate]]-Refunds[[#This Row],[SaleDate]]</f>
        <v>24</v>
      </c>
      <c r="H15" s="1" t="s">
        <v>13</v>
      </c>
      <c r="I15" s="1" t="s">
        <v>42</v>
      </c>
      <c r="J15" s="2">
        <v>45721</v>
      </c>
      <c r="K15">
        <v>607.02163027853669</v>
      </c>
      <c r="L15" s="2">
        <v>45745</v>
      </c>
      <c r="M15" s="1" t="s">
        <v>531</v>
      </c>
    </row>
    <row r="16" spans="1:13" x14ac:dyDescent="0.35">
      <c r="A16" s="1" t="s">
        <v>87</v>
      </c>
      <c r="B16" s="1" t="s">
        <v>10</v>
      </c>
      <c r="C16" s="1" t="s">
        <v>11</v>
      </c>
      <c r="D16" s="1" t="s">
        <v>12</v>
      </c>
      <c r="E16">
        <v>1710</v>
      </c>
      <c r="F16">
        <v>69</v>
      </c>
      <c r="G16">
        <f>Refunds[[#This Row],[RefundDate]]-Refunds[[#This Row],[SaleDate]]</f>
        <v>3</v>
      </c>
      <c r="H16" s="1" t="s">
        <v>13</v>
      </c>
      <c r="I16" s="1" t="s">
        <v>14</v>
      </c>
      <c r="J16" s="2">
        <v>45662</v>
      </c>
      <c r="K16">
        <v>1171.1903338690358</v>
      </c>
      <c r="L16" s="2">
        <v>45665</v>
      </c>
      <c r="M16" s="1" t="s">
        <v>534</v>
      </c>
    </row>
    <row r="17" spans="1:13" x14ac:dyDescent="0.35">
      <c r="A17" s="1" t="s">
        <v>90</v>
      </c>
      <c r="B17" s="1" t="s">
        <v>20</v>
      </c>
      <c r="C17" s="1" t="s">
        <v>25</v>
      </c>
      <c r="D17" s="1" t="s">
        <v>12</v>
      </c>
      <c r="E17">
        <v>1104</v>
      </c>
      <c r="F17">
        <v>50</v>
      </c>
      <c r="G17">
        <f>Refunds[[#This Row],[RefundDate]]-Refunds[[#This Row],[SaleDate]]</f>
        <v>18</v>
      </c>
      <c r="H17" s="1" t="s">
        <v>13</v>
      </c>
      <c r="I17" s="1" t="s">
        <v>33</v>
      </c>
      <c r="J17" s="2">
        <v>45762</v>
      </c>
      <c r="K17">
        <v>580.89997114348478</v>
      </c>
      <c r="L17" s="2">
        <v>45780</v>
      </c>
      <c r="M17" s="1" t="s">
        <v>531</v>
      </c>
    </row>
    <row r="18" spans="1:13" x14ac:dyDescent="0.35">
      <c r="A18" s="1" t="s">
        <v>95</v>
      </c>
      <c r="B18" s="1" t="s">
        <v>10</v>
      </c>
      <c r="C18" s="1" t="s">
        <v>11</v>
      </c>
      <c r="D18" s="1" t="s">
        <v>12</v>
      </c>
      <c r="E18">
        <v>187</v>
      </c>
      <c r="F18">
        <v>108</v>
      </c>
      <c r="G18">
        <f>Refunds[[#This Row],[RefundDate]]-Refunds[[#This Row],[SaleDate]]</f>
        <v>29</v>
      </c>
      <c r="H18" s="1" t="s">
        <v>13</v>
      </c>
      <c r="I18" s="1" t="s">
        <v>23</v>
      </c>
      <c r="J18" s="2">
        <v>45671</v>
      </c>
      <c r="K18">
        <v>165.26757326642536</v>
      </c>
      <c r="L18" s="2">
        <v>45700</v>
      </c>
      <c r="M18" s="1" t="s">
        <v>534</v>
      </c>
    </row>
    <row r="19" spans="1:13" x14ac:dyDescent="0.35">
      <c r="A19" s="1" t="s">
        <v>97</v>
      </c>
      <c r="B19" s="1" t="s">
        <v>37</v>
      </c>
      <c r="C19" s="1" t="s">
        <v>17</v>
      </c>
      <c r="D19" s="1" t="s">
        <v>51</v>
      </c>
      <c r="E19">
        <v>1424</v>
      </c>
      <c r="F19">
        <v>210</v>
      </c>
      <c r="G19">
        <f>Refunds[[#This Row],[RefundDate]]-Refunds[[#This Row],[SaleDate]]</f>
        <v>29</v>
      </c>
      <c r="H19" s="1" t="s">
        <v>13</v>
      </c>
      <c r="I19" s="1" t="s">
        <v>23</v>
      </c>
      <c r="J19" s="2">
        <v>45763</v>
      </c>
      <c r="K19">
        <v>1008.551155515562</v>
      </c>
      <c r="L19" s="2">
        <v>45792</v>
      </c>
      <c r="M19" s="1" t="s">
        <v>533</v>
      </c>
    </row>
    <row r="20" spans="1:13" x14ac:dyDescent="0.35">
      <c r="A20" s="1" t="s">
        <v>99</v>
      </c>
      <c r="B20" s="1" t="s">
        <v>37</v>
      </c>
      <c r="C20" s="1" t="s">
        <v>17</v>
      </c>
      <c r="D20" s="1" t="s">
        <v>12</v>
      </c>
      <c r="E20">
        <v>1775</v>
      </c>
      <c r="F20">
        <v>255</v>
      </c>
      <c r="G20">
        <f>Refunds[[#This Row],[RefundDate]]-Refunds[[#This Row],[SaleDate]]</f>
        <v>11</v>
      </c>
      <c r="H20" s="1" t="s">
        <v>13</v>
      </c>
      <c r="I20" s="1" t="s">
        <v>42</v>
      </c>
      <c r="J20" s="2">
        <v>45723</v>
      </c>
      <c r="K20">
        <v>1617.1846495495756</v>
      </c>
      <c r="L20" s="2">
        <v>45734</v>
      </c>
      <c r="M20" s="1" t="s">
        <v>532</v>
      </c>
    </row>
    <row r="21" spans="1:13" x14ac:dyDescent="0.35">
      <c r="A21" s="1" t="s">
        <v>100</v>
      </c>
      <c r="B21" s="1" t="s">
        <v>27</v>
      </c>
      <c r="C21" s="1" t="s">
        <v>17</v>
      </c>
      <c r="D21" s="1" t="s">
        <v>12</v>
      </c>
      <c r="E21">
        <v>1063</v>
      </c>
      <c r="F21">
        <v>61</v>
      </c>
      <c r="G21">
        <f>Refunds[[#This Row],[RefundDate]]-Refunds[[#This Row],[SaleDate]]</f>
        <v>41</v>
      </c>
      <c r="H21" s="1" t="s">
        <v>13</v>
      </c>
      <c r="I21" s="1" t="s">
        <v>18</v>
      </c>
      <c r="J21" s="2">
        <v>45658</v>
      </c>
      <c r="K21">
        <v>983.4599625952244</v>
      </c>
      <c r="L21" s="2">
        <v>45699</v>
      </c>
      <c r="M21" s="1" t="s">
        <v>531</v>
      </c>
    </row>
    <row r="22" spans="1:13" x14ac:dyDescent="0.35">
      <c r="A22" s="1" t="s">
        <v>101</v>
      </c>
      <c r="B22" s="1" t="s">
        <v>10</v>
      </c>
      <c r="C22" s="1" t="s">
        <v>25</v>
      </c>
      <c r="D22" s="1" t="s">
        <v>12</v>
      </c>
      <c r="E22">
        <v>603</v>
      </c>
      <c r="F22">
        <v>325</v>
      </c>
      <c r="G22">
        <f>Refunds[[#This Row],[RefundDate]]-Refunds[[#This Row],[SaleDate]]</f>
        <v>11</v>
      </c>
      <c r="H22" s="1" t="s">
        <v>13</v>
      </c>
      <c r="I22" s="1" t="s">
        <v>14</v>
      </c>
      <c r="J22" s="2">
        <v>45716</v>
      </c>
      <c r="K22">
        <v>365.41620749164542</v>
      </c>
      <c r="L22" s="2">
        <v>45727</v>
      </c>
      <c r="M22" s="1" t="s">
        <v>532</v>
      </c>
    </row>
    <row r="23" spans="1:13" x14ac:dyDescent="0.35">
      <c r="A23" s="1" t="s">
        <v>103</v>
      </c>
      <c r="B23" s="1" t="s">
        <v>16</v>
      </c>
      <c r="C23" s="1" t="s">
        <v>25</v>
      </c>
      <c r="D23" s="1" t="s">
        <v>12</v>
      </c>
      <c r="E23">
        <v>1489</v>
      </c>
      <c r="F23">
        <v>291</v>
      </c>
      <c r="G23">
        <f>Refunds[[#This Row],[RefundDate]]-Refunds[[#This Row],[SaleDate]]</f>
        <v>42</v>
      </c>
      <c r="H23" s="1" t="s">
        <v>13</v>
      </c>
      <c r="I23" s="1" t="s">
        <v>14</v>
      </c>
      <c r="J23" s="2">
        <v>45682</v>
      </c>
      <c r="K23">
        <v>1233.8996674756606</v>
      </c>
      <c r="L23" s="2">
        <v>45724</v>
      </c>
      <c r="M23" s="1" t="s">
        <v>531</v>
      </c>
    </row>
    <row r="24" spans="1:13" x14ac:dyDescent="0.35">
      <c r="A24" s="1" t="s">
        <v>106</v>
      </c>
      <c r="B24" s="1" t="s">
        <v>10</v>
      </c>
      <c r="C24" s="1" t="s">
        <v>11</v>
      </c>
      <c r="D24" s="1" t="s">
        <v>12</v>
      </c>
      <c r="E24">
        <v>945</v>
      </c>
      <c r="F24">
        <v>348</v>
      </c>
      <c r="G24">
        <f>Refunds[[#This Row],[RefundDate]]-Refunds[[#This Row],[SaleDate]]</f>
        <v>29</v>
      </c>
      <c r="H24" s="1" t="s">
        <v>13</v>
      </c>
      <c r="I24" s="1" t="s">
        <v>14</v>
      </c>
      <c r="J24" s="2">
        <v>45708</v>
      </c>
      <c r="K24">
        <v>695.65315246700891</v>
      </c>
      <c r="L24" s="2">
        <v>45737</v>
      </c>
      <c r="M24" s="1" t="s">
        <v>532</v>
      </c>
    </row>
    <row r="25" spans="1:13" x14ac:dyDescent="0.35">
      <c r="A25" s="1" t="s">
        <v>108</v>
      </c>
      <c r="B25" s="1" t="s">
        <v>27</v>
      </c>
      <c r="C25" s="1" t="s">
        <v>11</v>
      </c>
      <c r="D25" s="1" t="s">
        <v>12</v>
      </c>
      <c r="E25">
        <v>742</v>
      </c>
      <c r="F25">
        <v>266</v>
      </c>
      <c r="G25">
        <f>Refunds[[#This Row],[RefundDate]]-Refunds[[#This Row],[SaleDate]]</f>
        <v>3</v>
      </c>
      <c r="H25" s="1" t="s">
        <v>13</v>
      </c>
      <c r="I25" s="1" t="s">
        <v>42</v>
      </c>
      <c r="J25" s="2">
        <v>45777</v>
      </c>
      <c r="K25">
        <v>697.53814976887099</v>
      </c>
      <c r="L25" s="2">
        <v>45780</v>
      </c>
      <c r="M25" s="1" t="s">
        <v>531</v>
      </c>
    </row>
    <row r="26" spans="1:13" x14ac:dyDescent="0.35">
      <c r="A26" s="1" t="s">
        <v>122</v>
      </c>
      <c r="B26" s="1" t="s">
        <v>10</v>
      </c>
      <c r="C26" s="1" t="s">
        <v>32</v>
      </c>
      <c r="D26" s="1" t="s">
        <v>12</v>
      </c>
      <c r="E26">
        <v>1462</v>
      </c>
      <c r="F26">
        <v>385</v>
      </c>
      <c r="G26">
        <f>Refunds[[#This Row],[RefundDate]]-Refunds[[#This Row],[SaleDate]]</f>
        <v>39</v>
      </c>
      <c r="H26" s="1" t="s">
        <v>13</v>
      </c>
      <c r="I26" s="1" t="s">
        <v>23</v>
      </c>
      <c r="J26" s="2">
        <v>45752</v>
      </c>
      <c r="K26">
        <v>888.70643647798784</v>
      </c>
      <c r="L26" s="2">
        <v>45791</v>
      </c>
      <c r="M26" s="1" t="s">
        <v>531</v>
      </c>
    </row>
    <row r="27" spans="1:13" x14ac:dyDescent="0.35">
      <c r="A27" s="1" t="s">
        <v>123</v>
      </c>
      <c r="B27" s="1" t="s">
        <v>10</v>
      </c>
      <c r="C27" s="1" t="s">
        <v>25</v>
      </c>
      <c r="D27" s="1" t="s">
        <v>12</v>
      </c>
      <c r="E27">
        <v>1435</v>
      </c>
      <c r="F27">
        <v>283</v>
      </c>
      <c r="G27">
        <f>Refunds[[#This Row],[RefundDate]]-Refunds[[#This Row],[SaleDate]]</f>
        <v>33</v>
      </c>
      <c r="H27" s="1" t="s">
        <v>13</v>
      </c>
      <c r="I27" s="1" t="s">
        <v>23</v>
      </c>
      <c r="J27" s="2">
        <v>45704</v>
      </c>
      <c r="K27">
        <v>1203.8309712224566</v>
      </c>
      <c r="L27" s="2">
        <v>45737</v>
      </c>
      <c r="M27" s="1" t="s">
        <v>531</v>
      </c>
    </row>
    <row r="28" spans="1:13" x14ac:dyDescent="0.35">
      <c r="A28" s="1" t="s">
        <v>126</v>
      </c>
      <c r="B28" s="1" t="s">
        <v>48</v>
      </c>
      <c r="C28" s="1" t="s">
        <v>32</v>
      </c>
      <c r="D28" s="1" t="s">
        <v>12</v>
      </c>
      <c r="E28">
        <v>485</v>
      </c>
      <c r="F28">
        <v>178</v>
      </c>
      <c r="G28">
        <f>Refunds[[#This Row],[RefundDate]]-Refunds[[#This Row],[SaleDate]]</f>
        <v>14</v>
      </c>
      <c r="H28" s="1" t="s">
        <v>13</v>
      </c>
      <c r="I28" s="1" t="s">
        <v>23</v>
      </c>
      <c r="J28" s="2">
        <v>45767</v>
      </c>
      <c r="K28">
        <v>389.87988964628528</v>
      </c>
      <c r="L28" s="2">
        <v>45781</v>
      </c>
      <c r="M28" s="1" t="s">
        <v>531</v>
      </c>
    </row>
    <row r="29" spans="1:13" x14ac:dyDescent="0.35">
      <c r="A29" s="1" t="s">
        <v>130</v>
      </c>
      <c r="B29" s="1" t="s">
        <v>48</v>
      </c>
      <c r="C29" s="1" t="s">
        <v>25</v>
      </c>
      <c r="D29" s="1" t="s">
        <v>12</v>
      </c>
      <c r="E29">
        <v>720</v>
      </c>
      <c r="F29">
        <v>135</v>
      </c>
      <c r="G29">
        <f>Refunds[[#This Row],[RefundDate]]-Refunds[[#This Row],[SaleDate]]</f>
        <v>17</v>
      </c>
      <c r="H29" s="1" t="s">
        <v>13</v>
      </c>
      <c r="I29" s="1" t="s">
        <v>33</v>
      </c>
      <c r="J29" s="2">
        <v>45748</v>
      </c>
      <c r="K29">
        <v>466.30853192585982</v>
      </c>
      <c r="L29" s="2">
        <v>45765</v>
      </c>
      <c r="M29" s="1" t="s">
        <v>531</v>
      </c>
    </row>
    <row r="30" spans="1:13" x14ac:dyDescent="0.35">
      <c r="A30" s="1" t="s">
        <v>133</v>
      </c>
      <c r="B30" s="1" t="s">
        <v>10</v>
      </c>
      <c r="C30" s="1" t="s">
        <v>25</v>
      </c>
      <c r="D30" s="1" t="s">
        <v>12</v>
      </c>
      <c r="E30">
        <v>1854</v>
      </c>
      <c r="F30">
        <v>242</v>
      </c>
      <c r="G30">
        <f>Refunds[[#This Row],[RefundDate]]-Refunds[[#This Row],[SaleDate]]</f>
        <v>36</v>
      </c>
      <c r="H30" s="1" t="s">
        <v>13</v>
      </c>
      <c r="I30" s="1" t="s">
        <v>42</v>
      </c>
      <c r="J30" s="2">
        <v>45714</v>
      </c>
      <c r="K30">
        <v>1053.6290376846371</v>
      </c>
      <c r="L30" s="2">
        <v>45750</v>
      </c>
      <c r="M30" s="1" t="s">
        <v>531</v>
      </c>
    </row>
    <row r="31" spans="1:13" x14ac:dyDescent="0.35">
      <c r="A31" s="1" t="s">
        <v>134</v>
      </c>
      <c r="B31" s="1" t="s">
        <v>20</v>
      </c>
      <c r="C31" s="1" t="s">
        <v>17</v>
      </c>
      <c r="D31" s="1" t="s">
        <v>12</v>
      </c>
      <c r="E31">
        <v>930</v>
      </c>
      <c r="F31">
        <v>360</v>
      </c>
      <c r="G31">
        <f>Refunds[[#This Row],[RefundDate]]-Refunds[[#This Row],[SaleDate]]</f>
        <v>7</v>
      </c>
      <c r="H31" s="1" t="s">
        <v>13</v>
      </c>
      <c r="I31" s="1" t="s">
        <v>42</v>
      </c>
      <c r="J31" s="2">
        <v>45686</v>
      </c>
      <c r="K31">
        <v>768.01248862193358</v>
      </c>
      <c r="L31" s="2">
        <v>45693</v>
      </c>
      <c r="M31" s="1" t="s">
        <v>531</v>
      </c>
    </row>
    <row r="32" spans="1:13" x14ac:dyDescent="0.35">
      <c r="A32" s="1" t="s">
        <v>137</v>
      </c>
      <c r="B32" s="1" t="s">
        <v>20</v>
      </c>
      <c r="C32" s="1" t="s">
        <v>32</v>
      </c>
      <c r="D32" s="1" t="s">
        <v>12</v>
      </c>
      <c r="E32">
        <v>1518</v>
      </c>
      <c r="F32">
        <v>163</v>
      </c>
      <c r="G32">
        <f>Refunds[[#This Row],[RefundDate]]-Refunds[[#This Row],[SaleDate]]</f>
        <v>7</v>
      </c>
      <c r="H32" s="1" t="s">
        <v>13</v>
      </c>
      <c r="I32" s="1" t="s">
        <v>23</v>
      </c>
      <c r="J32" s="2">
        <v>45768</v>
      </c>
      <c r="K32">
        <v>1319.5954707224389</v>
      </c>
      <c r="L32" s="2">
        <v>45775</v>
      </c>
      <c r="M32" s="1" t="s">
        <v>531</v>
      </c>
    </row>
    <row r="33" spans="1:13" x14ac:dyDescent="0.35">
      <c r="A33" s="1" t="s">
        <v>141</v>
      </c>
      <c r="B33" s="1" t="s">
        <v>16</v>
      </c>
      <c r="C33" s="1" t="s">
        <v>25</v>
      </c>
      <c r="D33" s="1" t="s">
        <v>51</v>
      </c>
      <c r="E33">
        <v>340</v>
      </c>
      <c r="F33">
        <v>352</v>
      </c>
      <c r="G33">
        <f>Refunds[[#This Row],[RefundDate]]-Refunds[[#This Row],[SaleDate]]</f>
        <v>25</v>
      </c>
      <c r="H33" s="1" t="s">
        <v>13</v>
      </c>
      <c r="I33" s="1" t="s">
        <v>42</v>
      </c>
      <c r="J33" s="2">
        <v>45685</v>
      </c>
      <c r="K33">
        <v>223.65664843976947</v>
      </c>
      <c r="L33" s="2">
        <v>45710</v>
      </c>
      <c r="M33" s="1" t="s">
        <v>531</v>
      </c>
    </row>
    <row r="34" spans="1:13" x14ac:dyDescent="0.35">
      <c r="A34" s="1" t="s">
        <v>143</v>
      </c>
      <c r="B34" s="1" t="s">
        <v>27</v>
      </c>
      <c r="C34" s="1" t="s">
        <v>25</v>
      </c>
      <c r="D34" s="1" t="s">
        <v>21</v>
      </c>
      <c r="E34">
        <v>571</v>
      </c>
      <c r="F34">
        <v>125</v>
      </c>
      <c r="G34">
        <f>Refunds[[#This Row],[RefundDate]]-Refunds[[#This Row],[SaleDate]]</f>
        <v>28</v>
      </c>
      <c r="H34" s="1" t="s">
        <v>13</v>
      </c>
      <c r="I34" s="1" t="s">
        <v>42</v>
      </c>
      <c r="J34" s="2">
        <v>45668</v>
      </c>
      <c r="K34">
        <v>469.59970844837056</v>
      </c>
      <c r="L34" s="2">
        <v>45696</v>
      </c>
      <c r="M34" s="1" t="s">
        <v>532</v>
      </c>
    </row>
    <row r="35" spans="1:13" x14ac:dyDescent="0.35">
      <c r="A35" s="1" t="s">
        <v>144</v>
      </c>
      <c r="B35" s="1" t="s">
        <v>48</v>
      </c>
      <c r="C35" s="1" t="s">
        <v>11</v>
      </c>
      <c r="D35" s="1" t="s">
        <v>12</v>
      </c>
      <c r="E35">
        <v>849</v>
      </c>
      <c r="F35">
        <v>377</v>
      </c>
      <c r="G35">
        <f>Refunds[[#This Row],[RefundDate]]-Refunds[[#This Row],[SaleDate]]</f>
        <v>19</v>
      </c>
      <c r="H35" s="1" t="s">
        <v>13</v>
      </c>
      <c r="I35" s="1" t="s">
        <v>33</v>
      </c>
      <c r="J35" s="2">
        <v>45665</v>
      </c>
      <c r="K35">
        <v>592.23307028108309</v>
      </c>
      <c r="L35" s="2">
        <v>45684</v>
      </c>
      <c r="M35" s="1" t="s">
        <v>534</v>
      </c>
    </row>
    <row r="36" spans="1:13" x14ac:dyDescent="0.35">
      <c r="A36" s="1" t="s">
        <v>150</v>
      </c>
      <c r="B36" s="1" t="s">
        <v>37</v>
      </c>
      <c r="C36" s="1" t="s">
        <v>32</v>
      </c>
      <c r="D36" s="1" t="s">
        <v>12</v>
      </c>
      <c r="E36">
        <v>910</v>
      </c>
      <c r="F36">
        <v>336</v>
      </c>
      <c r="G36">
        <f>Refunds[[#This Row],[RefundDate]]-Refunds[[#This Row],[SaleDate]]</f>
        <v>24</v>
      </c>
      <c r="H36" s="1" t="s">
        <v>13</v>
      </c>
      <c r="I36" s="1" t="s">
        <v>23</v>
      </c>
      <c r="J36" s="2">
        <v>45719</v>
      </c>
      <c r="K36">
        <v>779.50913189359107</v>
      </c>
      <c r="L36" s="2">
        <v>45743</v>
      </c>
      <c r="M36" s="1" t="s">
        <v>531</v>
      </c>
    </row>
    <row r="37" spans="1:13" x14ac:dyDescent="0.35">
      <c r="A37" s="1" t="s">
        <v>152</v>
      </c>
      <c r="B37" s="1" t="s">
        <v>20</v>
      </c>
      <c r="C37" s="1" t="s">
        <v>17</v>
      </c>
      <c r="D37" s="1" t="s">
        <v>21</v>
      </c>
      <c r="E37">
        <v>684</v>
      </c>
      <c r="F37">
        <v>102</v>
      </c>
      <c r="G37">
        <f>Refunds[[#This Row],[RefundDate]]-Refunds[[#This Row],[SaleDate]]</f>
        <v>21</v>
      </c>
      <c r="H37" s="1" t="s">
        <v>13</v>
      </c>
      <c r="I37" s="1" t="s">
        <v>14</v>
      </c>
      <c r="J37" s="2">
        <v>45762</v>
      </c>
      <c r="K37">
        <v>410.1316240137661</v>
      </c>
      <c r="L37" s="2">
        <v>45783</v>
      </c>
      <c r="M37" s="1" t="s">
        <v>534</v>
      </c>
    </row>
    <row r="38" spans="1:13" x14ac:dyDescent="0.35">
      <c r="A38" s="1" t="s">
        <v>164</v>
      </c>
      <c r="B38" s="1" t="s">
        <v>27</v>
      </c>
      <c r="C38" s="1" t="s">
        <v>25</v>
      </c>
      <c r="D38" s="1" t="s">
        <v>12</v>
      </c>
      <c r="E38">
        <v>738</v>
      </c>
      <c r="F38">
        <v>318</v>
      </c>
      <c r="G38">
        <f>Refunds[[#This Row],[RefundDate]]-Refunds[[#This Row],[SaleDate]]</f>
        <v>6</v>
      </c>
      <c r="H38" s="1" t="s">
        <v>13</v>
      </c>
      <c r="I38" s="1" t="s">
        <v>33</v>
      </c>
      <c r="J38" s="2">
        <v>45702</v>
      </c>
      <c r="K38">
        <v>697.48933597274834</v>
      </c>
      <c r="L38" s="2">
        <v>45708</v>
      </c>
      <c r="M38" s="1" t="s">
        <v>531</v>
      </c>
    </row>
    <row r="39" spans="1:13" x14ac:dyDescent="0.35">
      <c r="A39" s="1" t="s">
        <v>176</v>
      </c>
      <c r="B39" s="1" t="s">
        <v>10</v>
      </c>
      <c r="C39" s="1" t="s">
        <v>25</v>
      </c>
      <c r="D39" s="1" t="s">
        <v>12</v>
      </c>
      <c r="E39">
        <v>1015</v>
      </c>
      <c r="F39">
        <v>328</v>
      </c>
      <c r="G39">
        <f>Refunds[[#This Row],[RefundDate]]-Refunds[[#This Row],[SaleDate]]</f>
        <v>10</v>
      </c>
      <c r="H39" s="1" t="s">
        <v>13</v>
      </c>
      <c r="I39" s="1" t="s">
        <v>42</v>
      </c>
      <c r="J39" s="2">
        <v>45660</v>
      </c>
      <c r="K39">
        <v>653.3603702062818</v>
      </c>
      <c r="L39" s="2">
        <v>45670</v>
      </c>
      <c r="M39" s="1" t="s">
        <v>531</v>
      </c>
    </row>
    <row r="40" spans="1:13" x14ac:dyDescent="0.35">
      <c r="A40" s="1" t="s">
        <v>190</v>
      </c>
      <c r="B40" s="1" t="s">
        <v>16</v>
      </c>
      <c r="C40" s="1" t="s">
        <v>17</v>
      </c>
      <c r="D40" s="1" t="s">
        <v>12</v>
      </c>
      <c r="E40">
        <v>1143</v>
      </c>
      <c r="F40">
        <v>142</v>
      </c>
      <c r="G40">
        <f>Refunds[[#This Row],[RefundDate]]-Refunds[[#This Row],[SaleDate]]</f>
        <v>25</v>
      </c>
      <c r="H40" s="1" t="s">
        <v>13</v>
      </c>
      <c r="I40" s="1" t="s">
        <v>33</v>
      </c>
      <c r="J40" s="2">
        <v>45695</v>
      </c>
      <c r="K40">
        <v>781.68969200264144</v>
      </c>
      <c r="L40" s="2">
        <v>45720</v>
      </c>
      <c r="M40" s="1" t="s">
        <v>532</v>
      </c>
    </row>
    <row r="41" spans="1:13" x14ac:dyDescent="0.35">
      <c r="A41" s="1" t="s">
        <v>194</v>
      </c>
      <c r="B41" s="1" t="s">
        <v>37</v>
      </c>
      <c r="C41" s="1" t="s">
        <v>25</v>
      </c>
      <c r="D41" s="1" t="s">
        <v>21</v>
      </c>
      <c r="E41">
        <v>1395</v>
      </c>
      <c r="F41">
        <v>151</v>
      </c>
      <c r="G41">
        <f>Refunds[[#This Row],[RefundDate]]-Refunds[[#This Row],[SaleDate]]</f>
        <v>18</v>
      </c>
      <c r="H41" s="1" t="s">
        <v>13</v>
      </c>
      <c r="I41" s="1" t="s">
        <v>18</v>
      </c>
      <c r="J41" s="2">
        <v>45739</v>
      </c>
      <c r="K41">
        <v>738.01913657604393</v>
      </c>
      <c r="L41" s="2">
        <v>45757</v>
      </c>
      <c r="M41" s="1" t="s">
        <v>533</v>
      </c>
    </row>
    <row r="42" spans="1:13" x14ac:dyDescent="0.35">
      <c r="A42" s="1" t="s">
        <v>201</v>
      </c>
      <c r="B42" s="1" t="s">
        <v>37</v>
      </c>
      <c r="C42" s="1" t="s">
        <v>25</v>
      </c>
      <c r="D42" s="1" t="s">
        <v>12</v>
      </c>
      <c r="E42">
        <v>1415</v>
      </c>
      <c r="F42">
        <v>331</v>
      </c>
      <c r="G42">
        <f>Refunds[[#This Row],[RefundDate]]-Refunds[[#This Row],[SaleDate]]</f>
        <v>9</v>
      </c>
      <c r="H42" s="1" t="s">
        <v>13</v>
      </c>
      <c r="I42" s="1" t="s">
        <v>14</v>
      </c>
      <c r="J42" s="2">
        <v>45709</v>
      </c>
      <c r="K42">
        <v>786.3948902173031</v>
      </c>
      <c r="L42" s="2">
        <v>45718</v>
      </c>
      <c r="M42" s="1" t="s">
        <v>533</v>
      </c>
    </row>
    <row r="43" spans="1:13" x14ac:dyDescent="0.35">
      <c r="A43" s="1" t="s">
        <v>204</v>
      </c>
      <c r="B43" s="1" t="s">
        <v>10</v>
      </c>
      <c r="C43" s="1" t="s">
        <v>32</v>
      </c>
      <c r="D43" s="1" t="s">
        <v>12</v>
      </c>
      <c r="E43">
        <v>341</v>
      </c>
      <c r="F43">
        <v>166</v>
      </c>
      <c r="G43">
        <f>Refunds[[#This Row],[RefundDate]]-Refunds[[#This Row],[SaleDate]]</f>
        <v>38</v>
      </c>
      <c r="H43" s="1" t="s">
        <v>13</v>
      </c>
      <c r="I43" s="1" t="s">
        <v>23</v>
      </c>
      <c r="J43" s="2">
        <v>45736</v>
      </c>
      <c r="K43">
        <v>258.45445441245192</v>
      </c>
      <c r="L43" s="2">
        <v>45774</v>
      </c>
      <c r="M43" s="1" t="s">
        <v>532</v>
      </c>
    </row>
    <row r="44" spans="1:13" x14ac:dyDescent="0.35">
      <c r="A44" s="1" t="s">
        <v>210</v>
      </c>
      <c r="B44" s="1" t="s">
        <v>20</v>
      </c>
      <c r="C44" s="1" t="s">
        <v>11</v>
      </c>
      <c r="D44" s="1" t="s">
        <v>21</v>
      </c>
      <c r="E44">
        <v>854</v>
      </c>
      <c r="F44">
        <v>353</v>
      </c>
      <c r="G44">
        <f>Refunds[[#This Row],[RefundDate]]-Refunds[[#This Row],[SaleDate]]</f>
        <v>21</v>
      </c>
      <c r="H44" s="1" t="s">
        <v>13</v>
      </c>
      <c r="I44" s="1" t="s">
        <v>33</v>
      </c>
      <c r="J44" s="2">
        <v>45756</v>
      </c>
      <c r="K44">
        <v>541.26207296284383</v>
      </c>
      <c r="L44" s="2">
        <v>45777</v>
      </c>
      <c r="M44" s="1" t="s">
        <v>534</v>
      </c>
    </row>
    <row r="45" spans="1:13" x14ac:dyDescent="0.35">
      <c r="A45" s="1" t="s">
        <v>214</v>
      </c>
      <c r="B45" s="1" t="s">
        <v>16</v>
      </c>
      <c r="C45" s="1" t="s">
        <v>11</v>
      </c>
      <c r="D45" s="1" t="s">
        <v>21</v>
      </c>
      <c r="E45">
        <v>359</v>
      </c>
      <c r="F45">
        <v>320</v>
      </c>
      <c r="G45">
        <f>Refunds[[#This Row],[RefundDate]]-Refunds[[#This Row],[SaleDate]]</f>
        <v>2</v>
      </c>
      <c r="H45" s="1" t="s">
        <v>13</v>
      </c>
      <c r="I45" s="1" t="s">
        <v>14</v>
      </c>
      <c r="J45" s="2">
        <v>45678</v>
      </c>
      <c r="K45">
        <v>329.46870052072387</v>
      </c>
      <c r="L45" s="2">
        <v>45680</v>
      </c>
      <c r="M45" s="1" t="s">
        <v>533</v>
      </c>
    </row>
    <row r="46" spans="1:13" x14ac:dyDescent="0.35">
      <c r="A46" s="1" t="s">
        <v>215</v>
      </c>
      <c r="B46" s="1" t="s">
        <v>48</v>
      </c>
      <c r="C46" s="1" t="s">
        <v>32</v>
      </c>
      <c r="D46" s="1" t="s">
        <v>12</v>
      </c>
      <c r="E46">
        <v>455</v>
      </c>
      <c r="F46">
        <v>92</v>
      </c>
      <c r="G46">
        <f>Refunds[[#This Row],[RefundDate]]-Refunds[[#This Row],[SaleDate]]</f>
        <v>3</v>
      </c>
      <c r="H46" s="1" t="s">
        <v>13</v>
      </c>
      <c r="I46" s="1" t="s">
        <v>23</v>
      </c>
      <c r="J46" s="2">
        <v>45686</v>
      </c>
      <c r="K46">
        <v>230.842745919002</v>
      </c>
      <c r="L46" s="2">
        <v>45689</v>
      </c>
      <c r="M46" s="1" t="s">
        <v>532</v>
      </c>
    </row>
    <row r="47" spans="1:13" x14ac:dyDescent="0.35">
      <c r="A47" s="1" t="s">
        <v>216</v>
      </c>
      <c r="B47" s="1" t="s">
        <v>20</v>
      </c>
      <c r="C47" s="1" t="s">
        <v>17</v>
      </c>
      <c r="D47" s="1" t="s">
        <v>12</v>
      </c>
      <c r="E47">
        <v>1443</v>
      </c>
      <c r="F47">
        <v>392</v>
      </c>
      <c r="G47">
        <f>Refunds[[#This Row],[RefundDate]]-Refunds[[#This Row],[SaleDate]]</f>
        <v>38</v>
      </c>
      <c r="H47" s="1" t="s">
        <v>13</v>
      </c>
      <c r="I47" s="1" t="s">
        <v>42</v>
      </c>
      <c r="J47" s="2">
        <v>45658</v>
      </c>
      <c r="K47">
        <v>995.01635611680183</v>
      </c>
      <c r="L47" s="2">
        <v>45696</v>
      </c>
      <c r="M47" s="1" t="s">
        <v>532</v>
      </c>
    </row>
    <row r="48" spans="1:13" x14ac:dyDescent="0.35">
      <c r="A48" s="1" t="s">
        <v>230</v>
      </c>
      <c r="B48" s="1" t="s">
        <v>48</v>
      </c>
      <c r="C48" s="1" t="s">
        <v>11</v>
      </c>
      <c r="D48" s="1" t="s">
        <v>12</v>
      </c>
      <c r="E48">
        <v>1206</v>
      </c>
      <c r="F48">
        <v>373</v>
      </c>
      <c r="G48">
        <f>Refunds[[#This Row],[RefundDate]]-Refunds[[#This Row],[SaleDate]]</f>
        <v>45</v>
      </c>
      <c r="H48" s="1" t="s">
        <v>13</v>
      </c>
      <c r="I48" s="1" t="s">
        <v>42</v>
      </c>
      <c r="J48" s="2">
        <v>45736</v>
      </c>
      <c r="K48">
        <v>806.4193647017629</v>
      </c>
      <c r="L48" s="2">
        <v>45781</v>
      </c>
      <c r="M48" s="1" t="s">
        <v>533</v>
      </c>
    </row>
    <row r="49" spans="1:13" x14ac:dyDescent="0.35">
      <c r="A49" s="1" t="s">
        <v>234</v>
      </c>
      <c r="B49" s="1" t="s">
        <v>10</v>
      </c>
      <c r="C49" s="1" t="s">
        <v>25</v>
      </c>
      <c r="D49" s="1" t="s">
        <v>12</v>
      </c>
      <c r="E49">
        <v>1096</v>
      </c>
      <c r="F49">
        <v>339</v>
      </c>
      <c r="G49">
        <f>Refunds[[#This Row],[RefundDate]]-Refunds[[#This Row],[SaleDate]]</f>
        <v>3</v>
      </c>
      <c r="H49" s="1" t="s">
        <v>13</v>
      </c>
      <c r="I49" s="1" t="s">
        <v>33</v>
      </c>
      <c r="J49" s="2">
        <v>45689</v>
      </c>
      <c r="K49">
        <v>558.59154174284527</v>
      </c>
      <c r="L49" s="2">
        <v>45692</v>
      </c>
      <c r="M49" s="1" t="s">
        <v>534</v>
      </c>
    </row>
    <row r="50" spans="1:13" x14ac:dyDescent="0.35">
      <c r="A50" s="1" t="s">
        <v>241</v>
      </c>
      <c r="B50" s="1" t="s">
        <v>48</v>
      </c>
      <c r="C50" s="1" t="s">
        <v>32</v>
      </c>
      <c r="D50" s="1" t="s">
        <v>21</v>
      </c>
      <c r="E50">
        <v>1458</v>
      </c>
      <c r="F50">
        <v>340</v>
      </c>
      <c r="G50">
        <f>Refunds[[#This Row],[RefundDate]]-Refunds[[#This Row],[SaleDate]]</f>
        <v>38</v>
      </c>
      <c r="H50" s="1" t="s">
        <v>13</v>
      </c>
      <c r="I50" s="1" t="s">
        <v>42</v>
      </c>
      <c r="J50" s="2">
        <v>45701</v>
      </c>
      <c r="K50">
        <v>819.66456287137191</v>
      </c>
      <c r="L50" s="2">
        <v>45739</v>
      </c>
      <c r="M50" s="1" t="s">
        <v>532</v>
      </c>
    </row>
    <row r="51" spans="1:13" x14ac:dyDescent="0.35">
      <c r="A51" s="1" t="s">
        <v>243</v>
      </c>
      <c r="B51" s="1" t="s">
        <v>20</v>
      </c>
      <c r="C51" s="1" t="s">
        <v>25</v>
      </c>
      <c r="D51" s="1" t="s">
        <v>51</v>
      </c>
      <c r="E51">
        <v>1272</v>
      </c>
      <c r="F51">
        <v>193</v>
      </c>
      <c r="G51">
        <f>Refunds[[#This Row],[RefundDate]]-Refunds[[#This Row],[SaleDate]]</f>
        <v>32</v>
      </c>
      <c r="H51" s="1" t="s">
        <v>13</v>
      </c>
      <c r="I51" s="1" t="s">
        <v>23</v>
      </c>
      <c r="J51" s="2">
        <v>45664</v>
      </c>
      <c r="K51">
        <v>899.07674124825201</v>
      </c>
      <c r="L51" s="2">
        <v>45696</v>
      </c>
      <c r="M51" s="1" t="s">
        <v>531</v>
      </c>
    </row>
    <row r="52" spans="1:13" x14ac:dyDescent="0.35">
      <c r="A52" s="1" t="s">
        <v>246</v>
      </c>
      <c r="B52" s="1" t="s">
        <v>27</v>
      </c>
      <c r="C52" s="1" t="s">
        <v>17</v>
      </c>
      <c r="D52" s="1" t="s">
        <v>51</v>
      </c>
      <c r="E52">
        <v>188</v>
      </c>
      <c r="F52">
        <v>195</v>
      </c>
      <c r="G52">
        <f>Refunds[[#This Row],[RefundDate]]-Refunds[[#This Row],[SaleDate]]</f>
        <v>6</v>
      </c>
      <c r="H52" s="1" t="s">
        <v>13</v>
      </c>
      <c r="I52" s="1" t="s">
        <v>14</v>
      </c>
      <c r="J52" s="2">
        <v>45663</v>
      </c>
      <c r="K52">
        <v>140.32927093805998</v>
      </c>
      <c r="L52" s="2">
        <v>45669</v>
      </c>
      <c r="M52" s="1" t="s">
        <v>534</v>
      </c>
    </row>
    <row r="53" spans="1:13" x14ac:dyDescent="0.35">
      <c r="A53" s="1" t="s">
        <v>261</v>
      </c>
      <c r="B53" s="1" t="s">
        <v>20</v>
      </c>
      <c r="C53" s="1" t="s">
        <v>32</v>
      </c>
      <c r="D53" s="1" t="s">
        <v>51</v>
      </c>
      <c r="E53">
        <v>1880</v>
      </c>
      <c r="F53">
        <v>347</v>
      </c>
      <c r="G53">
        <f>Refunds[[#This Row],[RefundDate]]-Refunds[[#This Row],[SaleDate]]</f>
        <v>40</v>
      </c>
      <c r="H53" s="1" t="s">
        <v>13</v>
      </c>
      <c r="I53" s="1" t="s">
        <v>42</v>
      </c>
      <c r="J53" s="2">
        <v>45709</v>
      </c>
      <c r="K53">
        <v>1320.0323624195769</v>
      </c>
      <c r="L53" s="2">
        <v>45749</v>
      </c>
      <c r="M53" s="1" t="s">
        <v>534</v>
      </c>
    </row>
    <row r="54" spans="1:13" x14ac:dyDescent="0.35">
      <c r="A54" s="1" t="s">
        <v>267</v>
      </c>
      <c r="B54" s="1" t="s">
        <v>37</v>
      </c>
      <c r="C54" s="1" t="s">
        <v>25</v>
      </c>
      <c r="D54" s="1" t="s">
        <v>12</v>
      </c>
      <c r="E54">
        <v>1138</v>
      </c>
      <c r="F54">
        <v>222</v>
      </c>
      <c r="G54">
        <f>Refunds[[#This Row],[RefundDate]]-Refunds[[#This Row],[SaleDate]]</f>
        <v>16</v>
      </c>
      <c r="H54" s="1" t="s">
        <v>13</v>
      </c>
      <c r="I54" s="1" t="s">
        <v>23</v>
      </c>
      <c r="J54" s="2">
        <v>45777</v>
      </c>
      <c r="K54">
        <v>871.10353901648136</v>
      </c>
      <c r="L54" s="2">
        <v>45793</v>
      </c>
      <c r="M54" s="1" t="s">
        <v>533</v>
      </c>
    </row>
    <row r="55" spans="1:13" x14ac:dyDescent="0.35">
      <c r="A55" s="1" t="s">
        <v>269</v>
      </c>
      <c r="B55" s="1" t="s">
        <v>20</v>
      </c>
      <c r="C55" s="1" t="s">
        <v>25</v>
      </c>
      <c r="D55" s="1" t="s">
        <v>12</v>
      </c>
      <c r="E55">
        <v>452</v>
      </c>
      <c r="F55">
        <v>190</v>
      </c>
      <c r="G55">
        <f>Refunds[[#This Row],[RefundDate]]-Refunds[[#This Row],[SaleDate]]</f>
        <v>16</v>
      </c>
      <c r="H55" s="1" t="s">
        <v>13</v>
      </c>
      <c r="I55" s="1" t="s">
        <v>33</v>
      </c>
      <c r="J55" s="2">
        <v>45713</v>
      </c>
      <c r="K55">
        <v>360.49975852868403</v>
      </c>
      <c r="L55" s="2">
        <v>45729</v>
      </c>
      <c r="M55" s="1" t="s">
        <v>533</v>
      </c>
    </row>
    <row r="56" spans="1:13" x14ac:dyDescent="0.35">
      <c r="A56" s="1" t="s">
        <v>270</v>
      </c>
      <c r="B56" s="1" t="s">
        <v>48</v>
      </c>
      <c r="C56" s="1" t="s">
        <v>11</v>
      </c>
      <c r="D56" s="1" t="s">
        <v>12</v>
      </c>
      <c r="E56">
        <v>1018</v>
      </c>
      <c r="F56">
        <v>167</v>
      </c>
      <c r="G56">
        <f>Refunds[[#This Row],[RefundDate]]-Refunds[[#This Row],[SaleDate]]</f>
        <v>45</v>
      </c>
      <c r="H56" s="1" t="s">
        <v>13</v>
      </c>
      <c r="I56" s="1" t="s">
        <v>18</v>
      </c>
      <c r="J56" s="2">
        <v>45664</v>
      </c>
      <c r="K56">
        <v>514.05122495406829</v>
      </c>
      <c r="L56" s="2">
        <v>45709</v>
      </c>
      <c r="M56" s="1" t="s">
        <v>531</v>
      </c>
    </row>
    <row r="57" spans="1:13" x14ac:dyDescent="0.35">
      <c r="A57" s="1" t="s">
        <v>271</v>
      </c>
      <c r="B57" s="1" t="s">
        <v>48</v>
      </c>
      <c r="C57" s="1" t="s">
        <v>32</v>
      </c>
      <c r="D57" s="1" t="s">
        <v>12</v>
      </c>
      <c r="E57">
        <v>233</v>
      </c>
      <c r="F57">
        <v>326</v>
      </c>
      <c r="G57">
        <f>Refunds[[#This Row],[RefundDate]]-Refunds[[#This Row],[SaleDate]]</f>
        <v>17</v>
      </c>
      <c r="H57" s="1" t="s">
        <v>13</v>
      </c>
      <c r="I57" s="1" t="s">
        <v>18</v>
      </c>
      <c r="J57" s="2">
        <v>45774</v>
      </c>
      <c r="K57">
        <v>170.5670860763332</v>
      </c>
      <c r="L57" s="2">
        <v>45791</v>
      </c>
      <c r="M57" s="1" t="s">
        <v>532</v>
      </c>
    </row>
    <row r="58" spans="1:13" x14ac:dyDescent="0.35">
      <c r="A58" s="1" t="s">
        <v>272</v>
      </c>
      <c r="B58" s="1" t="s">
        <v>10</v>
      </c>
      <c r="C58" s="1" t="s">
        <v>17</v>
      </c>
      <c r="D58" s="1" t="s">
        <v>51</v>
      </c>
      <c r="E58">
        <v>1947</v>
      </c>
      <c r="F58">
        <v>263</v>
      </c>
      <c r="G58">
        <f>Refunds[[#This Row],[RefundDate]]-Refunds[[#This Row],[SaleDate]]</f>
        <v>3</v>
      </c>
      <c r="H58" s="1" t="s">
        <v>13</v>
      </c>
      <c r="I58" s="1" t="s">
        <v>33</v>
      </c>
      <c r="J58" s="2">
        <v>45661</v>
      </c>
      <c r="K58">
        <v>1911.4665110040671</v>
      </c>
      <c r="L58" s="2">
        <v>45664</v>
      </c>
      <c r="M58" s="1" t="s">
        <v>533</v>
      </c>
    </row>
    <row r="59" spans="1:13" x14ac:dyDescent="0.35">
      <c r="A59" s="1" t="s">
        <v>284</v>
      </c>
      <c r="B59" s="1" t="s">
        <v>20</v>
      </c>
      <c r="C59" s="1" t="s">
        <v>32</v>
      </c>
      <c r="D59" s="1" t="s">
        <v>12</v>
      </c>
      <c r="E59">
        <v>942</v>
      </c>
      <c r="F59">
        <v>98</v>
      </c>
      <c r="G59">
        <f>Refunds[[#This Row],[RefundDate]]-Refunds[[#This Row],[SaleDate]]</f>
        <v>43</v>
      </c>
      <c r="H59" s="1" t="s">
        <v>13</v>
      </c>
      <c r="I59" s="1" t="s">
        <v>18</v>
      </c>
      <c r="J59" s="2">
        <v>45686</v>
      </c>
      <c r="K59">
        <v>715.46420394101744</v>
      </c>
      <c r="L59" s="2">
        <v>45729</v>
      </c>
      <c r="M59" s="1" t="s">
        <v>533</v>
      </c>
    </row>
    <row r="60" spans="1:13" x14ac:dyDescent="0.35">
      <c r="A60" s="1" t="s">
        <v>298</v>
      </c>
      <c r="B60" s="1" t="s">
        <v>20</v>
      </c>
      <c r="C60" s="1" t="s">
        <v>25</v>
      </c>
      <c r="D60" s="1" t="s">
        <v>12</v>
      </c>
      <c r="E60">
        <v>1482</v>
      </c>
      <c r="F60">
        <v>213</v>
      </c>
      <c r="G60">
        <f>Refunds[[#This Row],[RefundDate]]-Refunds[[#This Row],[SaleDate]]</f>
        <v>40</v>
      </c>
      <c r="H60" s="1" t="s">
        <v>13</v>
      </c>
      <c r="I60" s="1" t="s">
        <v>18</v>
      </c>
      <c r="J60" s="2">
        <v>45702</v>
      </c>
      <c r="K60">
        <v>1243.0588201870842</v>
      </c>
      <c r="L60" s="2">
        <v>45742</v>
      </c>
      <c r="M60" s="1" t="s">
        <v>534</v>
      </c>
    </row>
    <row r="61" spans="1:13" x14ac:dyDescent="0.35">
      <c r="A61" s="1" t="s">
        <v>305</v>
      </c>
      <c r="B61" s="1" t="s">
        <v>27</v>
      </c>
      <c r="C61" s="1" t="s">
        <v>11</v>
      </c>
      <c r="D61" s="1" t="s">
        <v>51</v>
      </c>
      <c r="E61">
        <v>536</v>
      </c>
      <c r="F61">
        <v>210</v>
      </c>
      <c r="G61">
        <f>Refunds[[#This Row],[RefundDate]]-Refunds[[#This Row],[SaleDate]]</f>
        <v>22</v>
      </c>
      <c r="H61" s="1" t="s">
        <v>13</v>
      </c>
      <c r="I61" s="1" t="s">
        <v>18</v>
      </c>
      <c r="J61" s="2">
        <v>45676</v>
      </c>
      <c r="K61">
        <v>351.5795139217247</v>
      </c>
      <c r="L61" s="2">
        <v>45698</v>
      </c>
      <c r="M61" s="1" t="s">
        <v>533</v>
      </c>
    </row>
    <row r="62" spans="1:13" x14ac:dyDescent="0.35">
      <c r="A62" s="1" t="s">
        <v>312</v>
      </c>
      <c r="B62" s="1" t="s">
        <v>48</v>
      </c>
      <c r="C62" s="1" t="s">
        <v>17</v>
      </c>
      <c r="D62" s="1" t="s">
        <v>21</v>
      </c>
      <c r="E62">
        <v>1065</v>
      </c>
      <c r="F62">
        <v>60</v>
      </c>
      <c r="G62">
        <f>Refunds[[#This Row],[RefundDate]]-Refunds[[#This Row],[SaleDate]]</f>
        <v>33</v>
      </c>
      <c r="H62" s="1" t="s">
        <v>13</v>
      </c>
      <c r="I62" s="1" t="s">
        <v>14</v>
      </c>
      <c r="J62" s="2">
        <v>45764</v>
      </c>
      <c r="K62">
        <v>944.65040886634608</v>
      </c>
      <c r="L62" s="2">
        <v>45797</v>
      </c>
      <c r="M62" s="1" t="s">
        <v>533</v>
      </c>
    </row>
    <row r="63" spans="1:13" x14ac:dyDescent="0.35">
      <c r="A63" s="1" t="s">
        <v>315</v>
      </c>
      <c r="B63" s="1" t="s">
        <v>20</v>
      </c>
      <c r="C63" s="1" t="s">
        <v>25</v>
      </c>
      <c r="D63" s="1" t="s">
        <v>12</v>
      </c>
      <c r="E63">
        <v>1326</v>
      </c>
      <c r="F63">
        <v>126</v>
      </c>
      <c r="G63">
        <f>Refunds[[#This Row],[RefundDate]]-Refunds[[#This Row],[SaleDate]]</f>
        <v>3</v>
      </c>
      <c r="H63" s="1" t="s">
        <v>13</v>
      </c>
      <c r="I63" s="1" t="s">
        <v>23</v>
      </c>
      <c r="J63" s="2">
        <v>45662</v>
      </c>
      <c r="K63">
        <v>1175.4469424838644</v>
      </c>
      <c r="L63" s="2">
        <v>45665</v>
      </c>
      <c r="M63" s="1" t="s">
        <v>533</v>
      </c>
    </row>
    <row r="64" spans="1:13" x14ac:dyDescent="0.35">
      <c r="A64" s="1" t="s">
        <v>317</v>
      </c>
      <c r="B64" s="1" t="s">
        <v>10</v>
      </c>
      <c r="C64" s="1" t="s">
        <v>25</v>
      </c>
      <c r="D64" s="1" t="s">
        <v>12</v>
      </c>
      <c r="E64">
        <v>355</v>
      </c>
      <c r="F64">
        <v>307</v>
      </c>
      <c r="G64">
        <f>Refunds[[#This Row],[RefundDate]]-Refunds[[#This Row],[SaleDate]]</f>
        <v>30</v>
      </c>
      <c r="H64" s="1" t="s">
        <v>13</v>
      </c>
      <c r="I64" s="1" t="s">
        <v>23</v>
      </c>
      <c r="J64" s="2">
        <v>45665</v>
      </c>
      <c r="K64">
        <v>270.03004845860966</v>
      </c>
      <c r="L64" s="2">
        <v>45695</v>
      </c>
      <c r="M64" s="1" t="s">
        <v>533</v>
      </c>
    </row>
    <row r="65" spans="1:13" x14ac:dyDescent="0.35">
      <c r="A65" s="1" t="s">
        <v>319</v>
      </c>
      <c r="B65" s="1" t="s">
        <v>48</v>
      </c>
      <c r="C65" s="1" t="s">
        <v>17</v>
      </c>
      <c r="D65" s="1" t="s">
        <v>12</v>
      </c>
      <c r="E65">
        <v>1446</v>
      </c>
      <c r="F65">
        <v>340</v>
      </c>
      <c r="G65">
        <f>Refunds[[#This Row],[RefundDate]]-Refunds[[#This Row],[SaleDate]]</f>
        <v>20</v>
      </c>
      <c r="H65" s="1" t="s">
        <v>13</v>
      </c>
      <c r="I65" s="1" t="s">
        <v>14</v>
      </c>
      <c r="J65" s="2">
        <v>45735</v>
      </c>
      <c r="K65">
        <v>1428.6579942308715</v>
      </c>
      <c r="L65" s="2">
        <v>45755</v>
      </c>
      <c r="M65" s="1" t="s">
        <v>534</v>
      </c>
    </row>
    <row r="66" spans="1:13" x14ac:dyDescent="0.35">
      <c r="A66" s="1" t="s">
        <v>321</v>
      </c>
      <c r="B66" s="1" t="s">
        <v>20</v>
      </c>
      <c r="C66" s="1" t="s">
        <v>32</v>
      </c>
      <c r="D66" s="1" t="s">
        <v>12</v>
      </c>
      <c r="E66">
        <v>1913</v>
      </c>
      <c r="F66">
        <v>134</v>
      </c>
      <c r="G66">
        <f>Refunds[[#This Row],[RefundDate]]-Refunds[[#This Row],[SaleDate]]</f>
        <v>17</v>
      </c>
      <c r="H66" s="1" t="s">
        <v>13</v>
      </c>
      <c r="I66" s="1" t="s">
        <v>23</v>
      </c>
      <c r="J66" s="2">
        <v>45739</v>
      </c>
      <c r="K66">
        <v>1076.5887804204781</v>
      </c>
      <c r="L66" s="2">
        <v>45756</v>
      </c>
      <c r="M66" s="1" t="s">
        <v>531</v>
      </c>
    </row>
    <row r="67" spans="1:13" x14ac:dyDescent="0.35">
      <c r="A67" s="1" t="s">
        <v>322</v>
      </c>
      <c r="B67" s="1" t="s">
        <v>48</v>
      </c>
      <c r="C67" s="1" t="s">
        <v>32</v>
      </c>
      <c r="D67" s="1" t="s">
        <v>12</v>
      </c>
      <c r="E67">
        <v>670</v>
      </c>
      <c r="F67">
        <v>195</v>
      </c>
      <c r="G67">
        <f>Refunds[[#This Row],[RefundDate]]-Refunds[[#This Row],[SaleDate]]</f>
        <v>29</v>
      </c>
      <c r="H67" s="1" t="s">
        <v>13</v>
      </c>
      <c r="I67" s="1" t="s">
        <v>14</v>
      </c>
      <c r="J67" s="2">
        <v>45665</v>
      </c>
      <c r="K67">
        <v>340.67746773800963</v>
      </c>
      <c r="L67" s="2">
        <v>45694</v>
      </c>
      <c r="M67" s="1" t="s">
        <v>531</v>
      </c>
    </row>
    <row r="68" spans="1:13" x14ac:dyDescent="0.35">
      <c r="A68" s="1" t="s">
        <v>324</v>
      </c>
      <c r="B68" s="1" t="s">
        <v>37</v>
      </c>
      <c r="C68" s="1" t="s">
        <v>32</v>
      </c>
      <c r="D68" s="1" t="s">
        <v>12</v>
      </c>
      <c r="E68">
        <v>1166</v>
      </c>
      <c r="F68">
        <v>91</v>
      </c>
      <c r="G68">
        <f>Refunds[[#This Row],[RefundDate]]-Refunds[[#This Row],[SaleDate]]</f>
        <v>34</v>
      </c>
      <c r="H68" s="1" t="s">
        <v>13</v>
      </c>
      <c r="I68" s="1" t="s">
        <v>14</v>
      </c>
      <c r="J68" s="2">
        <v>45725</v>
      </c>
      <c r="K68">
        <v>1032.0022374543871</v>
      </c>
      <c r="L68" s="2">
        <v>45759</v>
      </c>
      <c r="M68" s="1" t="s">
        <v>532</v>
      </c>
    </row>
    <row r="69" spans="1:13" x14ac:dyDescent="0.35">
      <c r="A69" s="1" t="s">
        <v>332</v>
      </c>
      <c r="B69" s="1" t="s">
        <v>16</v>
      </c>
      <c r="C69" s="1" t="s">
        <v>17</v>
      </c>
      <c r="D69" s="1" t="s">
        <v>12</v>
      </c>
      <c r="E69">
        <v>733</v>
      </c>
      <c r="F69">
        <v>117</v>
      </c>
      <c r="G69">
        <f>Refunds[[#This Row],[RefundDate]]-Refunds[[#This Row],[SaleDate]]</f>
        <v>22</v>
      </c>
      <c r="H69" s="1" t="s">
        <v>13</v>
      </c>
      <c r="I69" s="1" t="s">
        <v>14</v>
      </c>
      <c r="J69" s="2">
        <v>45682</v>
      </c>
      <c r="K69">
        <v>662.32250444422948</v>
      </c>
      <c r="L69" s="2">
        <v>45704</v>
      </c>
      <c r="M69" s="1" t="s">
        <v>533</v>
      </c>
    </row>
    <row r="70" spans="1:13" x14ac:dyDescent="0.35">
      <c r="A70" s="1" t="s">
        <v>333</v>
      </c>
      <c r="B70" s="1" t="s">
        <v>27</v>
      </c>
      <c r="C70" s="1" t="s">
        <v>32</v>
      </c>
      <c r="D70" s="1" t="s">
        <v>21</v>
      </c>
      <c r="E70">
        <v>544</v>
      </c>
      <c r="F70">
        <v>267</v>
      </c>
      <c r="G70">
        <f>Refunds[[#This Row],[RefundDate]]-Refunds[[#This Row],[SaleDate]]</f>
        <v>27</v>
      </c>
      <c r="H70" s="1" t="s">
        <v>13</v>
      </c>
      <c r="I70" s="1" t="s">
        <v>18</v>
      </c>
      <c r="J70" s="2">
        <v>45771</v>
      </c>
      <c r="K70">
        <v>304.69636632079676</v>
      </c>
      <c r="L70" s="2">
        <v>45798</v>
      </c>
      <c r="M70" s="1" t="s">
        <v>534</v>
      </c>
    </row>
    <row r="71" spans="1:13" x14ac:dyDescent="0.35">
      <c r="A71" s="1" t="s">
        <v>341</v>
      </c>
      <c r="B71" s="1" t="s">
        <v>10</v>
      </c>
      <c r="C71" s="1" t="s">
        <v>32</v>
      </c>
      <c r="D71" s="1" t="s">
        <v>21</v>
      </c>
      <c r="E71">
        <v>487</v>
      </c>
      <c r="F71">
        <v>278</v>
      </c>
      <c r="G71">
        <f>Refunds[[#This Row],[RefundDate]]-Refunds[[#This Row],[SaleDate]]</f>
        <v>25</v>
      </c>
      <c r="H71" s="1" t="s">
        <v>13</v>
      </c>
      <c r="I71" s="1" t="s">
        <v>33</v>
      </c>
      <c r="J71" s="2">
        <v>45730</v>
      </c>
      <c r="K71">
        <v>308.16941982542056</v>
      </c>
      <c r="L71" s="2">
        <v>45755</v>
      </c>
      <c r="M71" s="1" t="s">
        <v>532</v>
      </c>
    </row>
    <row r="72" spans="1:13" x14ac:dyDescent="0.35">
      <c r="A72" s="1" t="s">
        <v>350</v>
      </c>
      <c r="B72" s="1" t="s">
        <v>48</v>
      </c>
      <c r="C72" s="1" t="s">
        <v>32</v>
      </c>
      <c r="D72" s="1" t="s">
        <v>12</v>
      </c>
      <c r="E72">
        <v>950</v>
      </c>
      <c r="F72">
        <v>179</v>
      </c>
      <c r="G72">
        <f>Refunds[[#This Row],[RefundDate]]-Refunds[[#This Row],[SaleDate]]</f>
        <v>22</v>
      </c>
      <c r="H72" s="1" t="s">
        <v>13</v>
      </c>
      <c r="I72" s="1" t="s">
        <v>42</v>
      </c>
      <c r="J72" s="2">
        <v>45728</v>
      </c>
      <c r="K72">
        <v>483.33737259914881</v>
      </c>
      <c r="L72" s="2">
        <v>45750</v>
      </c>
      <c r="M72" s="1" t="s">
        <v>532</v>
      </c>
    </row>
    <row r="73" spans="1:13" x14ac:dyDescent="0.35">
      <c r="A73" s="1" t="s">
        <v>351</v>
      </c>
      <c r="B73" s="1" t="s">
        <v>10</v>
      </c>
      <c r="C73" s="1" t="s">
        <v>11</v>
      </c>
      <c r="D73" s="1" t="s">
        <v>12</v>
      </c>
      <c r="E73">
        <v>251</v>
      </c>
      <c r="F73">
        <v>54</v>
      </c>
      <c r="G73">
        <f>Refunds[[#This Row],[RefundDate]]-Refunds[[#This Row],[SaleDate]]</f>
        <v>9</v>
      </c>
      <c r="H73" s="1" t="s">
        <v>13</v>
      </c>
      <c r="I73" s="1" t="s">
        <v>18</v>
      </c>
      <c r="J73" s="2">
        <v>45703</v>
      </c>
      <c r="K73">
        <v>162.31023065296088</v>
      </c>
      <c r="L73" s="2">
        <v>45712</v>
      </c>
      <c r="M73" s="1" t="s">
        <v>531</v>
      </c>
    </row>
    <row r="74" spans="1:13" x14ac:dyDescent="0.35">
      <c r="A74" s="1" t="s">
        <v>361</v>
      </c>
      <c r="B74" s="1" t="s">
        <v>20</v>
      </c>
      <c r="C74" s="1" t="s">
        <v>25</v>
      </c>
      <c r="D74" s="1" t="s">
        <v>12</v>
      </c>
      <c r="E74">
        <v>1038</v>
      </c>
      <c r="F74">
        <v>107</v>
      </c>
      <c r="G74">
        <f>Refunds[[#This Row],[RefundDate]]-Refunds[[#This Row],[SaleDate]]</f>
        <v>28</v>
      </c>
      <c r="H74" s="1" t="s">
        <v>13</v>
      </c>
      <c r="I74" s="1" t="s">
        <v>33</v>
      </c>
      <c r="J74" s="2">
        <v>45743</v>
      </c>
      <c r="K74">
        <v>920.26063256379052</v>
      </c>
      <c r="L74" s="2">
        <v>45771</v>
      </c>
      <c r="M74" s="1" t="s">
        <v>534</v>
      </c>
    </row>
    <row r="75" spans="1:13" x14ac:dyDescent="0.35">
      <c r="A75" s="1" t="s">
        <v>362</v>
      </c>
      <c r="B75" s="1" t="s">
        <v>37</v>
      </c>
      <c r="C75" s="1" t="s">
        <v>32</v>
      </c>
      <c r="D75" s="1" t="s">
        <v>12</v>
      </c>
      <c r="E75">
        <v>1219</v>
      </c>
      <c r="F75">
        <v>308</v>
      </c>
      <c r="G75">
        <f>Refunds[[#This Row],[RefundDate]]-Refunds[[#This Row],[SaleDate]]</f>
        <v>43</v>
      </c>
      <c r="H75" s="1" t="s">
        <v>13</v>
      </c>
      <c r="I75" s="1" t="s">
        <v>42</v>
      </c>
      <c r="J75" s="2">
        <v>45743</v>
      </c>
      <c r="K75">
        <v>925.19694164081682</v>
      </c>
      <c r="L75" s="2">
        <v>45786</v>
      </c>
      <c r="M75" s="1" t="s">
        <v>534</v>
      </c>
    </row>
    <row r="76" spans="1:13" x14ac:dyDescent="0.35">
      <c r="A76" s="1" t="s">
        <v>365</v>
      </c>
      <c r="B76" s="1" t="s">
        <v>27</v>
      </c>
      <c r="C76" s="1" t="s">
        <v>11</v>
      </c>
      <c r="D76" s="1" t="s">
        <v>12</v>
      </c>
      <c r="E76">
        <v>741</v>
      </c>
      <c r="F76">
        <v>179</v>
      </c>
      <c r="G76">
        <f>Refunds[[#This Row],[RefundDate]]-Refunds[[#This Row],[SaleDate]]</f>
        <v>25</v>
      </c>
      <c r="H76" s="1" t="s">
        <v>13</v>
      </c>
      <c r="I76" s="1" t="s">
        <v>42</v>
      </c>
      <c r="J76" s="2">
        <v>45660</v>
      </c>
      <c r="K76">
        <v>499.46941726885075</v>
      </c>
      <c r="L76" s="2">
        <v>45685</v>
      </c>
      <c r="M76" s="1" t="s">
        <v>534</v>
      </c>
    </row>
    <row r="77" spans="1:13" x14ac:dyDescent="0.35">
      <c r="A77" s="1" t="s">
        <v>367</v>
      </c>
      <c r="B77" s="1" t="s">
        <v>37</v>
      </c>
      <c r="C77" s="1" t="s">
        <v>17</v>
      </c>
      <c r="D77" s="1" t="s">
        <v>21</v>
      </c>
      <c r="E77">
        <v>1259</v>
      </c>
      <c r="F77">
        <v>221</v>
      </c>
      <c r="G77">
        <f>Refunds[[#This Row],[RefundDate]]-Refunds[[#This Row],[SaleDate]]</f>
        <v>42</v>
      </c>
      <c r="H77" s="1" t="s">
        <v>13</v>
      </c>
      <c r="I77" s="1" t="s">
        <v>18</v>
      </c>
      <c r="J77" s="2">
        <v>45737</v>
      </c>
      <c r="K77">
        <v>863.50988614353491</v>
      </c>
      <c r="L77" s="2">
        <v>45779</v>
      </c>
      <c r="M77" s="1" t="s">
        <v>531</v>
      </c>
    </row>
    <row r="78" spans="1:13" x14ac:dyDescent="0.35">
      <c r="A78" s="1" t="s">
        <v>369</v>
      </c>
      <c r="B78" s="1" t="s">
        <v>10</v>
      </c>
      <c r="C78" s="1" t="s">
        <v>17</v>
      </c>
      <c r="D78" s="1" t="s">
        <v>12</v>
      </c>
      <c r="E78">
        <v>1833</v>
      </c>
      <c r="F78">
        <v>151</v>
      </c>
      <c r="G78">
        <f>Refunds[[#This Row],[RefundDate]]-Refunds[[#This Row],[SaleDate]]</f>
        <v>14</v>
      </c>
      <c r="H78" s="1" t="s">
        <v>13</v>
      </c>
      <c r="I78" s="1" t="s">
        <v>18</v>
      </c>
      <c r="J78" s="2">
        <v>45736</v>
      </c>
      <c r="K78">
        <v>917.74059796822667</v>
      </c>
      <c r="L78" s="2">
        <v>45750</v>
      </c>
      <c r="M78" s="1" t="s">
        <v>531</v>
      </c>
    </row>
    <row r="79" spans="1:13" x14ac:dyDescent="0.35">
      <c r="A79" s="1" t="s">
        <v>371</v>
      </c>
      <c r="B79" s="1" t="s">
        <v>16</v>
      </c>
      <c r="C79" s="1" t="s">
        <v>25</v>
      </c>
      <c r="D79" s="1" t="s">
        <v>12</v>
      </c>
      <c r="E79">
        <v>863</v>
      </c>
      <c r="F79">
        <v>340</v>
      </c>
      <c r="G79">
        <f>Refunds[[#This Row],[RefundDate]]-Refunds[[#This Row],[SaleDate]]</f>
        <v>13</v>
      </c>
      <c r="H79" s="1" t="s">
        <v>13</v>
      </c>
      <c r="I79" s="1" t="s">
        <v>33</v>
      </c>
      <c r="J79" s="2">
        <v>45762</v>
      </c>
      <c r="K79">
        <v>560.86392764439927</v>
      </c>
      <c r="L79" s="2">
        <v>45775</v>
      </c>
      <c r="M79" s="1" t="s">
        <v>531</v>
      </c>
    </row>
    <row r="80" spans="1:13" x14ac:dyDescent="0.35">
      <c r="A80" s="1" t="s">
        <v>372</v>
      </c>
      <c r="B80" s="1" t="s">
        <v>10</v>
      </c>
      <c r="C80" s="1" t="s">
        <v>11</v>
      </c>
      <c r="D80" s="1" t="s">
        <v>12</v>
      </c>
      <c r="E80">
        <v>1085</v>
      </c>
      <c r="F80">
        <v>335</v>
      </c>
      <c r="G80">
        <f>Refunds[[#This Row],[RefundDate]]-Refunds[[#This Row],[SaleDate]]</f>
        <v>12</v>
      </c>
      <c r="H80" s="1" t="s">
        <v>13</v>
      </c>
      <c r="I80" s="1" t="s">
        <v>23</v>
      </c>
      <c r="J80" s="2">
        <v>45775</v>
      </c>
      <c r="K80">
        <v>893.20386733857731</v>
      </c>
      <c r="L80" s="2">
        <v>45787</v>
      </c>
      <c r="M80" s="1" t="s">
        <v>531</v>
      </c>
    </row>
    <row r="81" spans="1:13" x14ac:dyDescent="0.35">
      <c r="A81" s="1" t="s">
        <v>375</v>
      </c>
      <c r="B81" s="1" t="s">
        <v>10</v>
      </c>
      <c r="C81" s="1" t="s">
        <v>32</v>
      </c>
      <c r="D81" s="1" t="s">
        <v>12</v>
      </c>
      <c r="E81">
        <v>374</v>
      </c>
      <c r="F81">
        <v>199</v>
      </c>
      <c r="G81">
        <f>Refunds[[#This Row],[RefundDate]]-Refunds[[#This Row],[SaleDate]]</f>
        <v>15</v>
      </c>
      <c r="H81" s="1" t="s">
        <v>13</v>
      </c>
      <c r="I81" s="1" t="s">
        <v>18</v>
      </c>
      <c r="J81" s="2">
        <v>45668</v>
      </c>
      <c r="K81">
        <v>369.17436099365881</v>
      </c>
      <c r="L81" s="2">
        <v>45683</v>
      </c>
      <c r="M81" s="1" t="s">
        <v>531</v>
      </c>
    </row>
    <row r="82" spans="1:13" x14ac:dyDescent="0.35">
      <c r="A82" s="1" t="s">
        <v>377</v>
      </c>
      <c r="B82" s="1" t="s">
        <v>48</v>
      </c>
      <c r="C82" s="1" t="s">
        <v>17</v>
      </c>
      <c r="D82" s="1" t="s">
        <v>12</v>
      </c>
      <c r="E82">
        <v>1918</v>
      </c>
      <c r="F82">
        <v>85</v>
      </c>
      <c r="G82">
        <f>Refunds[[#This Row],[RefundDate]]-Refunds[[#This Row],[SaleDate]]</f>
        <v>4</v>
      </c>
      <c r="H82" s="1" t="s">
        <v>13</v>
      </c>
      <c r="I82" s="1" t="s">
        <v>42</v>
      </c>
      <c r="J82" s="2">
        <v>45773</v>
      </c>
      <c r="K82">
        <v>1771.3313330775595</v>
      </c>
      <c r="L82" s="2">
        <v>45777</v>
      </c>
      <c r="M82" s="1" t="s">
        <v>533</v>
      </c>
    </row>
    <row r="83" spans="1:13" x14ac:dyDescent="0.35">
      <c r="A83" s="1" t="s">
        <v>382</v>
      </c>
      <c r="B83" s="1" t="s">
        <v>16</v>
      </c>
      <c r="C83" s="1" t="s">
        <v>11</v>
      </c>
      <c r="D83" s="1" t="s">
        <v>12</v>
      </c>
      <c r="E83">
        <v>1276</v>
      </c>
      <c r="F83">
        <v>257</v>
      </c>
      <c r="G83">
        <f>Refunds[[#This Row],[RefundDate]]-Refunds[[#This Row],[SaleDate]]</f>
        <v>45</v>
      </c>
      <c r="H83" s="1" t="s">
        <v>13</v>
      </c>
      <c r="I83" s="1" t="s">
        <v>14</v>
      </c>
      <c r="J83" s="2">
        <v>45740</v>
      </c>
      <c r="K83">
        <v>653.05358744384762</v>
      </c>
      <c r="L83" s="2">
        <v>45785</v>
      </c>
      <c r="M83" s="1" t="s">
        <v>533</v>
      </c>
    </row>
    <row r="84" spans="1:13" x14ac:dyDescent="0.35">
      <c r="A84" s="1" t="s">
        <v>387</v>
      </c>
      <c r="B84" s="1" t="s">
        <v>10</v>
      </c>
      <c r="C84" s="1" t="s">
        <v>11</v>
      </c>
      <c r="D84" s="1" t="s">
        <v>12</v>
      </c>
      <c r="E84">
        <v>1859</v>
      </c>
      <c r="F84">
        <v>61</v>
      </c>
      <c r="G84">
        <f>Refunds[[#This Row],[RefundDate]]-Refunds[[#This Row],[SaleDate]]</f>
        <v>12</v>
      </c>
      <c r="H84" s="1" t="s">
        <v>13</v>
      </c>
      <c r="I84" s="1" t="s">
        <v>14</v>
      </c>
      <c r="J84" s="2">
        <v>45679</v>
      </c>
      <c r="K84">
        <v>1764.7120820452631</v>
      </c>
      <c r="L84" s="2">
        <v>45691</v>
      </c>
      <c r="M84" s="1" t="s">
        <v>534</v>
      </c>
    </row>
    <row r="85" spans="1:13" x14ac:dyDescent="0.35">
      <c r="A85" s="1" t="s">
        <v>388</v>
      </c>
      <c r="B85" s="1" t="s">
        <v>48</v>
      </c>
      <c r="C85" s="1" t="s">
        <v>17</v>
      </c>
      <c r="D85" s="1" t="s">
        <v>12</v>
      </c>
      <c r="E85">
        <v>271</v>
      </c>
      <c r="F85">
        <v>194</v>
      </c>
      <c r="G85">
        <f>Refunds[[#This Row],[RefundDate]]-Refunds[[#This Row],[SaleDate]]</f>
        <v>45</v>
      </c>
      <c r="H85" s="1" t="s">
        <v>13</v>
      </c>
      <c r="I85" s="1" t="s">
        <v>33</v>
      </c>
      <c r="J85" s="2">
        <v>45765</v>
      </c>
      <c r="K85">
        <v>241.62338500196384</v>
      </c>
      <c r="L85" s="2">
        <v>45810</v>
      </c>
      <c r="M85" s="1" t="s">
        <v>532</v>
      </c>
    </row>
    <row r="86" spans="1:13" x14ac:dyDescent="0.35">
      <c r="A86" s="1" t="s">
        <v>390</v>
      </c>
      <c r="B86" s="1" t="s">
        <v>16</v>
      </c>
      <c r="C86" s="1" t="s">
        <v>25</v>
      </c>
      <c r="D86" s="1" t="s">
        <v>12</v>
      </c>
      <c r="E86">
        <v>1143</v>
      </c>
      <c r="F86">
        <v>52</v>
      </c>
      <c r="G86">
        <f>Refunds[[#This Row],[RefundDate]]-Refunds[[#This Row],[SaleDate]]</f>
        <v>7</v>
      </c>
      <c r="H86" s="1" t="s">
        <v>13</v>
      </c>
      <c r="I86" s="1" t="s">
        <v>33</v>
      </c>
      <c r="J86" s="2">
        <v>45721</v>
      </c>
      <c r="K86">
        <v>1017.4849546208154</v>
      </c>
      <c r="L86" s="2">
        <v>45728</v>
      </c>
      <c r="M86" s="1" t="s">
        <v>534</v>
      </c>
    </row>
    <row r="87" spans="1:13" x14ac:dyDescent="0.35">
      <c r="A87" s="1" t="s">
        <v>391</v>
      </c>
      <c r="B87" s="1" t="s">
        <v>48</v>
      </c>
      <c r="C87" s="1" t="s">
        <v>11</v>
      </c>
      <c r="D87" s="1" t="s">
        <v>12</v>
      </c>
      <c r="E87">
        <v>255</v>
      </c>
      <c r="F87">
        <v>193</v>
      </c>
      <c r="G87">
        <f>Refunds[[#This Row],[RefundDate]]-Refunds[[#This Row],[SaleDate]]</f>
        <v>5</v>
      </c>
      <c r="H87" s="1" t="s">
        <v>13</v>
      </c>
      <c r="I87" s="1" t="s">
        <v>14</v>
      </c>
      <c r="J87" s="2">
        <v>45763</v>
      </c>
      <c r="K87">
        <v>185.89445927295537</v>
      </c>
      <c r="L87" s="2">
        <v>45768</v>
      </c>
      <c r="M87" s="1" t="s">
        <v>532</v>
      </c>
    </row>
    <row r="88" spans="1:13" x14ac:dyDescent="0.35">
      <c r="A88" s="1" t="s">
        <v>393</v>
      </c>
      <c r="B88" s="1" t="s">
        <v>16</v>
      </c>
      <c r="C88" s="1" t="s">
        <v>11</v>
      </c>
      <c r="D88" s="1" t="s">
        <v>12</v>
      </c>
      <c r="E88">
        <v>577</v>
      </c>
      <c r="F88">
        <v>286</v>
      </c>
      <c r="G88">
        <f>Refunds[[#This Row],[RefundDate]]-Refunds[[#This Row],[SaleDate]]</f>
        <v>16</v>
      </c>
      <c r="H88" s="1" t="s">
        <v>13</v>
      </c>
      <c r="I88" s="1" t="s">
        <v>33</v>
      </c>
      <c r="J88" s="2">
        <v>45720</v>
      </c>
      <c r="K88">
        <v>403.32452701737407</v>
      </c>
      <c r="L88" s="2">
        <v>45736</v>
      </c>
      <c r="M88" s="1" t="s">
        <v>531</v>
      </c>
    </row>
    <row r="89" spans="1:13" x14ac:dyDescent="0.35">
      <c r="A89" s="1" t="s">
        <v>396</v>
      </c>
      <c r="B89" s="1" t="s">
        <v>48</v>
      </c>
      <c r="C89" s="1" t="s">
        <v>25</v>
      </c>
      <c r="D89" s="1" t="s">
        <v>12</v>
      </c>
      <c r="E89">
        <v>784</v>
      </c>
      <c r="F89">
        <v>164</v>
      </c>
      <c r="G89">
        <f>Refunds[[#This Row],[RefundDate]]-Refunds[[#This Row],[SaleDate]]</f>
        <v>6</v>
      </c>
      <c r="H89" s="1" t="s">
        <v>13</v>
      </c>
      <c r="I89" s="1" t="s">
        <v>23</v>
      </c>
      <c r="J89" s="2">
        <v>45750</v>
      </c>
      <c r="K89">
        <v>510.74296570261146</v>
      </c>
      <c r="L89" s="2">
        <v>45756</v>
      </c>
      <c r="M89" s="1" t="s">
        <v>532</v>
      </c>
    </row>
    <row r="90" spans="1:13" x14ac:dyDescent="0.35">
      <c r="A90" s="1" t="s">
        <v>398</v>
      </c>
      <c r="B90" s="1" t="s">
        <v>16</v>
      </c>
      <c r="C90" s="1" t="s">
        <v>11</v>
      </c>
      <c r="D90" s="1" t="s">
        <v>12</v>
      </c>
      <c r="E90">
        <v>923</v>
      </c>
      <c r="F90">
        <v>167</v>
      </c>
      <c r="G90">
        <f>Refunds[[#This Row],[RefundDate]]-Refunds[[#This Row],[SaleDate]]</f>
        <v>30</v>
      </c>
      <c r="H90" s="1" t="s">
        <v>13</v>
      </c>
      <c r="I90" s="1" t="s">
        <v>42</v>
      </c>
      <c r="J90" s="2">
        <v>45764</v>
      </c>
      <c r="K90">
        <v>491.8181774074398</v>
      </c>
      <c r="L90" s="2">
        <v>45794</v>
      </c>
      <c r="M90" s="1" t="s">
        <v>534</v>
      </c>
    </row>
    <row r="91" spans="1:13" x14ac:dyDescent="0.35">
      <c r="A91" s="1" t="s">
        <v>399</v>
      </c>
      <c r="B91" s="1" t="s">
        <v>16</v>
      </c>
      <c r="C91" s="1" t="s">
        <v>11</v>
      </c>
      <c r="D91" s="1" t="s">
        <v>12</v>
      </c>
      <c r="E91">
        <v>1246</v>
      </c>
      <c r="F91">
        <v>54</v>
      </c>
      <c r="G91">
        <f>Refunds[[#This Row],[RefundDate]]-Refunds[[#This Row],[SaleDate]]</f>
        <v>44</v>
      </c>
      <c r="H91" s="1" t="s">
        <v>13</v>
      </c>
      <c r="I91" s="1" t="s">
        <v>14</v>
      </c>
      <c r="J91" s="2">
        <v>45671</v>
      </c>
      <c r="K91">
        <v>765.19063145657458</v>
      </c>
      <c r="L91" s="2">
        <v>45715</v>
      </c>
      <c r="M91" s="1" t="s">
        <v>534</v>
      </c>
    </row>
    <row r="92" spans="1:13" x14ac:dyDescent="0.35">
      <c r="A92" s="1" t="s">
        <v>401</v>
      </c>
      <c r="B92" s="1" t="s">
        <v>20</v>
      </c>
      <c r="C92" s="1" t="s">
        <v>25</v>
      </c>
      <c r="D92" s="1" t="s">
        <v>12</v>
      </c>
      <c r="E92">
        <v>372</v>
      </c>
      <c r="F92">
        <v>370</v>
      </c>
      <c r="G92">
        <f>Refunds[[#This Row],[RefundDate]]-Refunds[[#This Row],[SaleDate]]</f>
        <v>24</v>
      </c>
      <c r="H92" s="1" t="s">
        <v>13</v>
      </c>
      <c r="I92" s="1" t="s">
        <v>42</v>
      </c>
      <c r="J92" s="2">
        <v>45703</v>
      </c>
      <c r="K92">
        <v>231.8682761059126</v>
      </c>
      <c r="L92" s="2">
        <v>45727</v>
      </c>
      <c r="M92" s="1" t="s">
        <v>532</v>
      </c>
    </row>
    <row r="93" spans="1:13" x14ac:dyDescent="0.35">
      <c r="A93" s="1" t="s">
        <v>405</v>
      </c>
      <c r="B93" s="1" t="s">
        <v>37</v>
      </c>
      <c r="C93" s="1" t="s">
        <v>11</v>
      </c>
      <c r="D93" s="1" t="s">
        <v>12</v>
      </c>
      <c r="E93">
        <v>865</v>
      </c>
      <c r="F93">
        <v>133</v>
      </c>
      <c r="G93">
        <f>Refunds[[#This Row],[RefundDate]]-Refunds[[#This Row],[SaleDate]]</f>
        <v>41</v>
      </c>
      <c r="H93" s="1" t="s">
        <v>13</v>
      </c>
      <c r="I93" s="1" t="s">
        <v>33</v>
      </c>
      <c r="J93" s="2">
        <v>45665</v>
      </c>
      <c r="K93">
        <v>641.8633326496622</v>
      </c>
      <c r="L93" s="2">
        <v>45706</v>
      </c>
      <c r="M93" s="1" t="s">
        <v>533</v>
      </c>
    </row>
    <row r="94" spans="1:13" x14ac:dyDescent="0.35">
      <c r="A94" s="1" t="s">
        <v>414</v>
      </c>
      <c r="B94" s="1" t="s">
        <v>27</v>
      </c>
      <c r="C94" s="1" t="s">
        <v>11</v>
      </c>
      <c r="D94" s="1" t="s">
        <v>12</v>
      </c>
      <c r="E94">
        <v>156</v>
      </c>
      <c r="F94">
        <v>200</v>
      </c>
      <c r="G94">
        <f>Refunds[[#This Row],[RefundDate]]-Refunds[[#This Row],[SaleDate]]</f>
        <v>2</v>
      </c>
      <c r="H94" s="1" t="s">
        <v>13</v>
      </c>
      <c r="I94" s="1" t="s">
        <v>33</v>
      </c>
      <c r="J94" s="2">
        <v>45767</v>
      </c>
      <c r="K94">
        <v>136.30066371454211</v>
      </c>
      <c r="L94" s="2">
        <v>45769</v>
      </c>
      <c r="M94" s="1" t="s">
        <v>531</v>
      </c>
    </row>
    <row r="95" spans="1:13" x14ac:dyDescent="0.35">
      <c r="A95" s="1" t="s">
        <v>417</v>
      </c>
      <c r="B95" s="1" t="s">
        <v>48</v>
      </c>
      <c r="C95" s="1" t="s">
        <v>25</v>
      </c>
      <c r="D95" s="1" t="s">
        <v>21</v>
      </c>
      <c r="E95">
        <v>357</v>
      </c>
      <c r="F95">
        <v>115</v>
      </c>
      <c r="G95">
        <f>Refunds[[#This Row],[RefundDate]]-Refunds[[#This Row],[SaleDate]]</f>
        <v>18</v>
      </c>
      <c r="H95" s="1" t="s">
        <v>13</v>
      </c>
      <c r="I95" s="1" t="s">
        <v>23</v>
      </c>
      <c r="J95" s="2">
        <v>45772</v>
      </c>
      <c r="K95">
        <v>263.07505436903347</v>
      </c>
      <c r="L95" s="2">
        <v>45790</v>
      </c>
      <c r="M95" s="1" t="s">
        <v>531</v>
      </c>
    </row>
    <row r="96" spans="1:13" x14ac:dyDescent="0.35">
      <c r="A96" s="1" t="s">
        <v>419</v>
      </c>
      <c r="B96" s="1" t="s">
        <v>20</v>
      </c>
      <c r="C96" s="1" t="s">
        <v>11</v>
      </c>
      <c r="D96" s="1" t="s">
        <v>12</v>
      </c>
      <c r="E96">
        <v>1563</v>
      </c>
      <c r="F96">
        <v>307</v>
      </c>
      <c r="G96">
        <f>Refunds[[#This Row],[RefundDate]]-Refunds[[#This Row],[SaleDate]]</f>
        <v>9</v>
      </c>
      <c r="H96" s="1" t="s">
        <v>13</v>
      </c>
      <c r="I96" s="1" t="s">
        <v>42</v>
      </c>
      <c r="J96" s="2">
        <v>45681</v>
      </c>
      <c r="K96">
        <v>826.70543724295601</v>
      </c>
      <c r="L96" s="2">
        <v>45690</v>
      </c>
      <c r="M96" s="1" t="s">
        <v>534</v>
      </c>
    </row>
    <row r="97" spans="1:13" x14ac:dyDescent="0.35">
      <c r="A97" s="1" t="s">
        <v>421</v>
      </c>
      <c r="B97" s="1" t="s">
        <v>16</v>
      </c>
      <c r="C97" s="1" t="s">
        <v>11</v>
      </c>
      <c r="D97" s="1" t="s">
        <v>12</v>
      </c>
      <c r="E97">
        <v>171</v>
      </c>
      <c r="F97">
        <v>380</v>
      </c>
      <c r="G97">
        <f>Refunds[[#This Row],[RefundDate]]-Refunds[[#This Row],[SaleDate]]</f>
        <v>6</v>
      </c>
      <c r="H97" s="1" t="s">
        <v>13</v>
      </c>
      <c r="I97" s="1" t="s">
        <v>33</v>
      </c>
      <c r="J97" s="2">
        <v>45680</v>
      </c>
      <c r="K97">
        <v>167.39102798449142</v>
      </c>
      <c r="L97" s="2">
        <v>45686</v>
      </c>
      <c r="M97" s="1" t="s">
        <v>533</v>
      </c>
    </row>
    <row r="98" spans="1:13" x14ac:dyDescent="0.35">
      <c r="A98" s="1" t="s">
        <v>425</v>
      </c>
      <c r="B98" s="1" t="s">
        <v>27</v>
      </c>
      <c r="C98" s="1" t="s">
        <v>11</v>
      </c>
      <c r="D98" s="1" t="s">
        <v>21</v>
      </c>
      <c r="E98">
        <v>1300</v>
      </c>
      <c r="F98">
        <v>203</v>
      </c>
      <c r="G98">
        <f>Refunds[[#This Row],[RefundDate]]-Refunds[[#This Row],[SaleDate]]</f>
        <v>23</v>
      </c>
      <c r="H98" s="1" t="s">
        <v>13</v>
      </c>
      <c r="I98" s="1" t="s">
        <v>14</v>
      </c>
      <c r="J98" s="2">
        <v>45704</v>
      </c>
      <c r="K98">
        <v>1262.7708074111729</v>
      </c>
      <c r="L98" s="2">
        <v>45727</v>
      </c>
      <c r="M98" s="1" t="s">
        <v>532</v>
      </c>
    </row>
    <row r="99" spans="1:13" x14ac:dyDescent="0.35">
      <c r="A99" s="1" t="s">
        <v>428</v>
      </c>
      <c r="B99" s="1" t="s">
        <v>10</v>
      </c>
      <c r="C99" s="1" t="s">
        <v>17</v>
      </c>
      <c r="D99" s="1" t="s">
        <v>12</v>
      </c>
      <c r="E99">
        <v>1023</v>
      </c>
      <c r="F99">
        <v>311</v>
      </c>
      <c r="G99">
        <f>Refunds[[#This Row],[RefundDate]]-Refunds[[#This Row],[SaleDate]]</f>
        <v>24</v>
      </c>
      <c r="H99" s="1" t="s">
        <v>13</v>
      </c>
      <c r="I99" s="1" t="s">
        <v>42</v>
      </c>
      <c r="J99" s="2">
        <v>45708</v>
      </c>
      <c r="K99">
        <v>913.12445132041091</v>
      </c>
      <c r="L99" s="2">
        <v>45732</v>
      </c>
      <c r="M99" s="1" t="s">
        <v>531</v>
      </c>
    </row>
    <row r="100" spans="1:13" x14ac:dyDescent="0.35">
      <c r="A100" s="1" t="s">
        <v>429</v>
      </c>
      <c r="B100" s="1" t="s">
        <v>27</v>
      </c>
      <c r="C100" s="1" t="s">
        <v>11</v>
      </c>
      <c r="D100" s="1" t="s">
        <v>12</v>
      </c>
      <c r="E100">
        <v>163</v>
      </c>
      <c r="F100">
        <v>192</v>
      </c>
      <c r="G100">
        <f>Refunds[[#This Row],[RefundDate]]-Refunds[[#This Row],[SaleDate]]</f>
        <v>27</v>
      </c>
      <c r="H100" s="1" t="s">
        <v>13</v>
      </c>
      <c r="I100" s="1" t="s">
        <v>33</v>
      </c>
      <c r="J100" s="2">
        <v>45740</v>
      </c>
      <c r="K100">
        <v>162.29322397748399</v>
      </c>
      <c r="L100" s="2">
        <v>45767</v>
      </c>
      <c r="M100" s="1" t="s">
        <v>533</v>
      </c>
    </row>
    <row r="101" spans="1:13" x14ac:dyDescent="0.35">
      <c r="A101" s="1" t="s">
        <v>431</v>
      </c>
      <c r="B101" s="1" t="s">
        <v>10</v>
      </c>
      <c r="C101" s="1" t="s">
        <v>32</v>
      </c>
      <c r="D101" s="1" t="s">
        <v>12</v>
      </c>
      <c r="E101">
        <v>1127</v>
      </c>
      <c r="F101">
        <v>365</v>
      </c>
      <c r="G101">
        <f>Refunds[[#This Row],[RefundDate]]-Refunds[[#This Row],[SaleDate]]</f>
        <v>42</v>
      </c>
      <c r="H101" s="1" t="s">
        <v>13</v>
      </c>
      <c r="I101" s="1" t="s">
        <v>33</v>
      </c>
      <c r="J101" s="2">
        <v>45668</v>
      </c>
      <c r="K101">
        <v>870.31579453294808</v>
      </c>
      <c r="L101" s="2">
        <v>45710</v>
      </c>
      <c r="M101" s="1" t="s">
        <v>531</v>
      </c>
    </row>
    <row r="102" spans="1:13" x14ac:dyDescent="0.35">
      <c r="A102" s="1" t="s">
        <v>432</v>
      </c>
      <c r="B102" s="1" t="s">
        <v>16</v>
      </c>
      <c r="C102" s="1" t="s">
        <v>32</v>
      </c>
      <c r="D102" s="1" t="s">
        <v>51</v>
      </c>
      <c r="E102">
        <v>1163</v>
      </c>
      <c r="F102">
        <v>150</v>
      </c>
      <c r="G102">
        <f>Refunds[[#This Row],[RefundDate]]-Refunds[[#This Row],[SaleDate]]</f>
        <v>19</v>
      </c>
      <c r="H102" s="1" t="s">
        <v>13</v>
      </c>
      <c r="I102" s="1" t="s">
        <v>23</v>
      </c>
      <c r="J102" s="2">
        <v>45668</v>
      </c>
      <c r="K102">
        <v>1141.3497956722392</v>
      </c>
      <c r="L102" s="2">
        <v>45687</v>
      </c>
      <c r="M102" s="1" t="s">
        <v>533</v>
      </c>
    </row>
    <row r="103" spans="1:13" x14ac:dyDescent="0.35">
      <c r="A103" s="1" t="s">
        <v>442</v>
      </c>
      <c r="B103" s="1" t="s">
        <v>37</v>
      </c>
      <c r="C103" s="1" t="s">
        <v>17</v>
      </c>
      <c r="D103" s="1" t="s">
        <v>12</v>
      </c>
      <c r="E103">
        <v>1740</v>
      </c>
      <c r="F103">
        <v>265</v>
      </c>
      <c r="G103">
        <f>Refunds[[#This Row],[RefundDate]]-Refunds[[#This Row],[SaleDate]]</f>
        <v>31</v>
      </c>
      <c r="H103" s="1" t="s">
        <v>13</v>
      </c>
      <c r="I103" s="1" t="s">
        <v>18</v>
      </c>
      <c r="J103" s="2">
        <v>45662</v>
      </c>
      <c r="K103">
        <v>935.77638533657318</v>
      </c>
      <c r="L103" s="2">
        <v>45693</v>
      </c>
      <c r="M103" s="1" t="s">
        <v>533</v>
      </c>
    </row>
    <row r="104" spans="1:13" x14ac:dyDescent="0.35">
      <c r="A104" s="1" t="s">
        <v>443</v>
      </c>
      <c r="B104" s="1" t="s">
        <v>20</v>
      </c>
      <c r="C104" s="1" t="s">
        <v>25</v>
      </c>
      <c r="D104" s="1" t="s">
        <v>21</v>
      </c>
      <c r="E104">
        <v>899</v>
      </c>
      <c r="F104">
        <v>207</v>
      </c>
      <c r="G104">
        <f>Refunds[[#This Row],[RefundDate]]-Refunds[[#This Row],[SaleDate]]</f>
        <v>15</v>
      </c>
      <c r="H104" s="1" t="s">
        <v>13</v>
      </c>
      <c r="I104" s="1" t="s">
        <v>33</v>
      </c>
      <c r="J104" s="2">
        <v>45673</v>
      </c>
      <c r="K104">
        <v>613.87349634348641</v>
      </c>
      <c r="L104" s="2">
        <v>45688</v>
      </c>
      <c r="M104" s="1" t="s">
        <v>534</v>
      </c>
    </row>
    <row r="105" spans="1:13" x14ac:dyDescent="0.35">
      <c r="A105" s="1" t="s">
        <v>445</v>
      </c>
      <c r="B105" s="1" t="s">
        <v>27</v>
      </c>
      <c r="C105" s="1" t="s">
        <v>17</v>
      </c>
      <c r="D105" s="1" t="s">
        <v>12</v>
      </c>
      <c r="E105">
        <v>834</v>
      </c>
      <c r="F105">
        <v>116</v>
      </c>
      <c r="G105">
        <f>Refunds[[#This Row],[RefundDate]]-Refunds[[#This Row],[SaleDate]]</f>
        <v>29</v>
      </c>
      <c r="H105" s="1" t="s">
        <v>13</v>
      </c>
      <c r="I105" s="1" t="s">
        <v>18</v>
      </c>
      <c r="J105" s="2">
        <v>45772</v>
      </c>
      <c r="K105">
        <v>510.98398875882128</v>
      </c>
      <c r="L105" s="2">
        <v>45801</v>
      </c>
      <c r="M105" s="1" t="s">
        <v>531</v>
      </c>
    </row>
    <row r="106" spans="1:13" x14ac:dyDescent="0.35">
      <c r="A106" s="1" t="s">
        <v>450</v>
      </c>
      <c r="B106" s="1" t="s">
        <v>27</v>
      </c>
      <c r="C106" s="1" t="s">
        <v>11</v>
      </c>
      <c r="D106" s="1" t="s">
        <v>21</v>
      </c>
      <c r="E106">
        <v>437</v>
      </c>
      <c r="F106">
        <v>212</v>
      </c>
      <c r="G106">
        <f>Refunds[[#This Row],[RefundDate]]-Refunds[[#This Row],[SaleDate]]</f>
        <v>2</v>
      </c>
      <c r="H106" s="1" t="s">
        <v>13</v>
      </c>
      <c r="I106" s="1" t="s">
        <v>14</v>
      </c>
      <c r="J106" s="2">
        <v>45689</v>
      </c>
      <c r="K106">
        <v>261.28952888333805</v>
      </c>
      <c r="L106" s="2">
        <v>45691</v>
      </c>
      <c r="M106" s="1" t="s">
        <v>532</v>
      </c>
    </row>
    <row r="107" spans="1:13" x14ac:dyDescent="0.35">
      <c r="A107" s="1" t="s">
        <v>458</v>
      </c>
      <c r="B107" s="1" t="s">
        <v>10</v>
      </c>
      <c r="C107" s="1" t="s">
        <v>25</v>
      </c>
      <c r="D107" s="1" t="s">
        <v>51</v>
      </c>
      <c r="E107">
        <v>1525</v>
      </c>
      <c r="F107">
        <v>74</v>
      </c>
      <c r="G107">
        <f>Refunds[[#This Row],[RefundDate]]-Refunds[[#This Row],[SaleDate]]</f>
        <v>27</v>
      </c>
      <c r="H107" s="1" t="s">
        <v>13</v>
      </c>
      <c r="I107" s="1" t="s">
        <v>23</v>
      </c>
      <c r="J107" s="2">
        <v>45767</v>
      </c>
      <c r="K107">
        <v>869.86224853066551</v>
      </c>
      <c r="L107" s="2">
        <v>45794</v>
      </c>
      <c r="M107" s="1" t="s">
        <v>534</v>
      </c>
    </row>
    <row r="108" spans="1:13" x14ac:dyDescent="0.35">
      <c r="A108" s="1" t="s">
        <v>459</v>
      </c>
      <c r="B108" s="1" t="s">
        <v>16</v>
      </c>
      <c r="C108" s="1" t="s">
        <v>25</v>
      </c>
      <c r="D108" s="1" t="s">
        <v>51</v>
      </c>
      <c r="E108">
        <v>461</v>
      </c>
      <c r="F108">
        <v>330</v>
      </c>
      <c r="G108">
        <f>Refunds[[#This Row],[RefundDate]]-Refunds[[#This Row],[SaleDate]]</f>
        <v>37</v>
      </c>
      <c r="H108" s="1" t="s">
        <v>13</v>
      </c>
      <c r="I108" s="1" t="s">
        <v>18</v>
      </c>
      <c r="J108" s="2">
        <v>45762</v>
      </c>
      <c r="K108">
        <v>373.96634438096225</v>
      </c>
      <c r="L108" s="2">
        <v>45799</v>
      </c>
      <c r="M108" s="1" t="s">
        <v>534</v>
      </c>
    </row>
    <row r="109" spans="1:13" x14ac:dyDescent="0.35">
      <c r="A109" s="1" t="s">
        <v>461</v>
      </c>
      <c r="B109" s="1" t="s">
        <v>16</v>
      </c>
      <c r="C109" s="1" t="s">
        <v>11</v>
      </c>
      <c r="D109" s="1" t="s">
        <v>12</v>
      </c>
      <c r="E109">
        <v>1232</v>
      </c>
      <c r="F109">
        <v>359</v>
      </c>
      <c r="G109">
        <f>Refunds[[#This Row],[RefundDate]]-Refunds[[#This Row],[SaleDate]]</f>
        <v>36</v>
      </c>
      <c r="H109" s="1" t="s">
        <v>13</v>
      </c>
      <c r="I109" s="1" t="s">
        <v>33</v>
      </c>
      <c r="J109" s="2">
        <v>45769</v>
      </c>
      <c r="K109">
        <v>1097.29426314034</v>
      </c>
      <c r="L109" s="2">
        <v>45805</v>
      </c>
      <c r="M109" s="1" t="s">
        <v>532</v>
      </c>
    </row>
    <row r="110" spans="1:13" x14ac:dyDescent="0.35">
      <c r="A110" s="1" t="s">
        <v>466</v>
      </c>
      <c r="B110" s="1" t="s">
        <v>10</v>
      </c>
      <c r="C110" s="1" t="s">
        <v>25</v>
      </c>
      <c r="D110" s="1" t="s">
        <v>12</v>
      </c>
      <c r="E110">
        <v>184</v>
      </c>
      <c r="F110">
        <v>370</v>
      </c>
      <c r="G110">
        <f>Refunds[[#This Row],[RefundDate]]-Refunds[[#This Row],[SaleDate]]</f>
        <v>32</v>
      </c>
      <c r="H110" s="1" t="s">
        <v>13</v>
      </c>
      <c r="I110" s="1" t="s">
        <v>23</v>
      </c>
      <c r="J110" s="2">
        <v>45743</v>
      </c>
      <c r="K110">
        <v>145.20345274667318</v>
      </c>
      <c r="L110" s="2">
        <v>45775</v>
      </c>
      <c r="M110" s="1" t="s">
        <v>534</v>
      </c>
    </row>
    <row r="111" spans="1:13" x14ac:dyDescent="0.35">
      <c r="A111" s="1" t="s">
        <v>471</v>
      </c>
      <c r="B111" s="1" t="s">
        <v>20</v>
      </c>
      <c r="C111" s="1" t="s">
        <v>17</v>
      </c>
      <c r="D111" s="1" t="s">
        <v>12</v>
      </c>
      <c r="E111">
        <v>1052</v>
      </c>
      <c r="F111">
        <v>74</v>
      </c>
      <c r="G111">
        <f>Refunds[[#This Row],[RefundDate]]-Refunds[[#This Row],[SaleDate]]</f>
        <v>11</v>
      </c>
      <c r="H111" s="1" t="s">
        <v>13</v>
      </c>
      <c r="I111" s="1" t="s">
        <v>23</v>
      </c>
      <c r="J111" s="2">
        <v>45671</v>
      </c>
      <c r="K111">
        <v>603.30238524339836</v>
      </c>
      <c r="L111" s="2">
        <v>45682</v>
      </c>
      <c r="M111" s="1" t="s">
        <v>533</v>
      </c>
    </row>
    <row r="112" spans="1:13" x14ac:dyDescent="0.35">
      <c r="A112" s="1" t="s">
        <v>480</v>
      </c>
      <c r="B112" s="1" t="s">
        <v>20</v>
      </c>
      <c r="C112" s="1" t="s">
        <v>25</v>
      </c>
      <c r="D112" s="1" t="s">
        <v>21</v>
      </c>
      <c r="E112">
        <v>954</v>
      </c>
      <c r="F112">
        <v>177</v>
      </c>
      <c r="G112">
        <f>Refunds[[#This Row],[RefundDate]]-Refunds[[#This Row],[SaleDate]]</f>
        <v>37</v>
      </c>
      <c r="H112" s="1" t="s">
        <v>13</v>
      </c>
      <c r="I112" s="1" t="s">
        <v>14</v>
      </c>
      <c r="J112" s="2">
        <v>45726</v>
      </c>
      <c r="K112">
        <v>863.90603825826565</v>
      </c>
      <c r="L112" s="2">
        <v>45763</v>
      </c>
      <c r="M112" s="1" t="s">
        <v>533</v>
      </c>
    </row>
    <row r="113" spans="1:13" x14ac:dyDescent="0.35">
      <c r="A113" s="1" t="s">
        <v>481</v>
      </c>
      <c r="B113" s="1" t="s">
        <v>10</v>
      </c>
      <c r="C113" s="1" t="s">
        <v>17</v>
      </c>
      <c r="D113" s="1" t="s">
        <v>12</v>
      </c>
      <c r="E113">
        <v>665</v>
      </c>
      <c r="F113">
        <v>145</v>
      </c>
      <c r="G113">
        <f>Refunds[[#This Row],[RefundDate]]-Refunds[[#This Row],[SaleDate]]</f>
        <v>19</v>
      </c>
      <c r="H113" s="1" t="s">
        <v>13</v>
      </c>
      <c r="I113" s="1" t="s">
        <v>42</v>
      </c>
      <c r="J113" s="2">
        <v>45701</v>
      </c>
      <c r="K113">
        <v>543.95494013193968</v>
      </c>
      <c r="L113" s="2">
        <v>45720</v>
      </c>
      <c r="M113" s="1" t="s">
        <v>531</v>
      </c>
    </row>
    <row r="114" spans="1:13" x14ac:dyDescent="0.35">
      <c r="A114" s="1" t="s">
        <v>485</v>
      </c>
      <c r="B114" s="1" t="s">
        <v>27</v>
      </c>
      <c r="C114" s="1" t="s">
        <v>11</v>
      </c>
      <c r="D114" s="1" t="s">
        <v>12</v>
      </c>
      <c r="E114">
        <v>681</v>
      </c>
      <c r="F114">
        <v>383</v>
      </c>
      <c r="G114">
        <f>Refunds[[#This Row],[RefundDate]]-Refunds[[#This Row],[SaleDate]]</f>
        <v>17</v>
      </c>
      <c r="H114" s="1" t="s">
        <v>13</v>
      </c>
      <c r="I114" s="1" t="s">
        <v>18</v>
      </c>
      <c r="J114" s="2">
        <v>45676</v>
      </c>
      <c r="K114">
        <v>472.67042293624195</v>
      </c>
      <c r="L114" s="2">
        <v>45693</v>
      </c>
      <c r="M114" s="1" t="s">
        <v>531</v>
      </c>
    </row>
    <row r="115" spans="1:13" x14ac:dyDescent="0.35">
      <c r="A115" s="1" t="s">
        <v>500</v>
      </c>
      <c r="B115" s="1" t="s">
        <v>16</v>
      </c>
      <c r="C115" s="1" t="s">
        <v>17</v>
      </c>
      <c r="D115" s="1" t="s">
        <v>12</v>
      </c>
      <c r="E115">
        <v>484</v>
      </c>
      <c r="F115">
        <v>179</v>
      </c>
      <c r="G115">
        <f>Refunds[[#This Row],[RefundDate]]-Refunds[[#This Row],[SaleDate]]</f>
        <v>21</v>
      </c>
      <c r="H115" s="1" t="s">
        <v>13</v>
      </c>
      <c r="I115" s="1" t="s">
        <v>14</v>
      </c>
      <c r="J115" s="2">
        <v>45731</v>
      </c>
      <c r="K115">
        <v>405.13953151972726</v>
      </c>
      <c r="L115" s="2">
        <v>45752</v>
      </c>
      <c r="M115" s="1" t="s">
        <v>532</v>
      </c>
    </row>
    <row r="116" spans="1:13" x14ac:dyDescent="0.35">
      <c r="A116" s="1" t="s">
        <v>508</v>
      </c>
      <c r="B116" s="1" t="s">
        <v>27</v>
      </c>
      <c r="C116" s="1" t="s">
        <v>11</v>
      </c>
      <c r="D116" s="1" t="s">
        <v>12</v>
      </c>
      <c r="E116">
        <v>1419</v>
      </c>
      <c r="F116">
        <v>378</v>
      </c>
      <c r="G116">
        <f>Refunds[[#This Row],[RefundDate]]-Refunds[[#This Row],[SaleDate]]</f>
        <v>15</v>
      </c>
      <c r="H116" s="1" t="s">
        <v>13</v>
      </c>
      <c r="I116" s="1" t="s">
        <v>14</v>
      </c>
      <c r="J116" s="2">
        <v>45731</v>
      </c>
      <c r="K116">
        <v>893.90258277278986</v>
      </c>
      <c r="L116" s="2">
        <v>45746</v>
      </c>
      <c r="M116" s="1" t="s">
        <v>531</v>
      </c>
    </row>
    <row r="117" spans="1:13" x14ac:dyDescent="0.35">
      <c r="A117" s="1" t="s">
        <v>510</v>
      </c>
      <c r="B117" s="1" t="s">
        <v>16</v>
      </c>
      <c r="C117" s="1" t="s">
        <v>11</v>
      </c>
      <c r="D117" s="1" t="s">
        <v>51</v>
      </c>
      <c r="E117">
        <v>1441</v>
      </c>
      <c r="F117">
        <v>239</v>
      </c>
      <c r="G117">
        <f>Refunds[[#This Row],[RefundDate]]-Refunds[[#This Row],[SaleDate]]</f>
        <v>30</v>
      </c>
      <c r="H117" s="1" t="s">
        <v>13</v>
      </c>
      <c r="I117" s="1" t="s">
        <v>14</v>
      </c>
      <c r="J117" s="2">
        <v>45731</v>
      </c>
      <c r="K117">
        <v>969.21098622007867</v>
      </c>
      <c r="L117" s="2">
        <v>45761</v>
      </c>
      <c r="M117" s="1" t="s">
        <v>533</v>
      </c>
    </row>
    <row r="118" spans="1:13" x14ac:dyDescent="0.35">
      <c r="A118" s="1" t="s">
        <v>511</v>
      </c>
      <c r="B118" s="1" t="s">
        <v>37</v>
      </c>
      <c r="C118" s="1" t="s">
        <v>17</v>
      </c>
      <c r="D118" s="1" t="s">
        <v>12</v>
      </c>
      <c r="E118">
        <v>1816</v>
      </c>
      <c r="F118">
        <v>312</v>
      </c>
      <c r="G118">
        <f>Refunds[[#This Row],[RefundDate]]-Refunds[[#This Row],[SaleDate]]</f>
        <v>6</v>
      </c>
      <c r="H118" s="1" t="s">
        <v>13</v>
      </c>
      <c r="I118" s="1" t="s">
        <v>33</v>
      </c>
      <c r="J118" s="2">
        <v>45753</v>
      </c>
      <c r="K118">
        <v>1741.0771455638471</v>
      </c>
      <c r="L118" s="2">
        <v>45759</v>
      </c>
      <c r="M118" s="1" t="s">
        <v>532</v>
      </c>
    </row>
    <row r="119" spans="1:13" x14ac:dyDescent="0.35">
      <c r="A119" s="1" t="s">
        <v>513</v>
      </c>
      <c r="B119" s="1" t="s">
        <v>16</v>
      </c>
      <c r="C119" s="1" t="s">
        <v>25</v>
      </c>
      <c r="D119" s="1" t="s">
        <v>12</v>
      </c>
      <c r="E119">
        <v>679</v>
      </c>
      <c r="F119">
        <v>301</v>
      </c>
      <c r="G119">
        <f>Refunds[[#This Row],[RefundDate]]-Refunds[[#This Row],[SaleDate]]</f>
        <v>34</v>
      </c>
      <c r="H119" s="1" t="s">
        <v>13</v>
      </c>
      <c r="I119" s="1" t="s">
        <v>18</v>
      </c>
      <c r="J119" s="2">
        <v>45747</v>
      </c>
      <c r="K119">
        <v>438.12627967544722</v>
      </c>
      <c r="L119" s="2">
        <v>45781</v>
      </c>
      <c r="M119" s="1" t="s">
        <v>532</v>
      </c>
    </row>
    <row r="120" spans="1:13" x14ac:dyDescent="0.35">
      <c r="A120" s="1" t="s">
        <v>515</v>
      </c>
      <c r="B120" s="1" t="s">
        <v>10</v>
      </c>
      <c r="C120" s="1" t="s">
        <v>25</v>
      </c>
      <c r="D120" s="1" t="s">
        <v>51</v>
      </c>
      <c r="E120">
        <v>170</v>
      </c>
      <c r="F120">
        <v>309</v>
      </c>
      <c r="G120">
        <f>Refunds[[#This Row],[RefundDate]]-Refunds[[#This Row],[SaleDate]]</f>
        <v>26</v>
      </c>
      <c r="H120" s="1" t="s">
        <v>13</v>
      </c>
      <c r="I120" s="1" t="s">
        <v>23</v>
      </c>
      <c r="J120" s="2">
        <v>45744</v>
      </c>
      <c r="K120">
        <v>124.94900279342461</v>
      </c>
      <c r="L120" s="2">
        <v>45770</v>
      </c>
      <c r="M120" s="1" t="s">
        <v>531</v>
      </c>
    </row>
    <row r="121" spans="1:13" x14ac:dyDescent="0.35">
      <c r="A121" s="1" t="s">
        <v>526</v>
      </c>
      <c r="B121" s="1" t="s">
        <v>16</v>
      </c>
      <c r="C121" s="1" t="s">
        <v>32</v>
      </c>
      <c r="D121" s="1" t="s">
        <v>51</v>
      </c>
      <c r="E121">
        <v>1089</v>
      </c>
      <c r="F121">
        <v>227</v>
      </c>
      <c r="G121">
        <f>Refunds[[#This Row],[RefundDate]]-Refunds[[#This Row],[SaleDate]]</f>
        <v>11</v>
      </c>
      <c r="H121" s="1" t="s">
        <v>13</v>
      </c>
      <c r="I121" s="1" t="s">
        <v>14</v>
      </c>
      <c r="J121" s="2">
        <v>45774</v>
      </c>
      <c r="K121">
        <v>1029.18184931213</v>
      </c>
      <c r="L121" s="2">
        <v>45785</v>
      </c>
      <c r="M121" s="1" t="s">
        <v>533</v>
      </c>
    </row>
    <row r="122" spans="1:13" x14ac:dyDescent="0.35">
      <c r="A122" s="1" t="s">
        <v>527</v>
      </c>
      <c r="B122" s="1" t="s">
        <v>10</v>
      </c>
      <c r="C122" s="1" t="s">
        <v>32</v>
      </c>
      <c r="D122" s="1" t="s">
        <v>12</v>
      </c>
      <c r="E122">
        <v>675</v>
      </c>
      <c r="F122">
        <v>112</v>
      </c>
      <c r="G122">
        <f>Refunds[[#This Row],[RefundDate]]-Refunds[[#This Row],[SaleDate]]</f>
        <v>9</v>
      </c>
      <c r="H122" s="1" t="s">
        <v>13</v>
      </c>
      <c r="I122" s="1" t="s">
        <v>23</v>
      </c>
      <c r="J122" s="2">
        <v>45778</v>
      </c>
      <c r="K122">
        <v>576.35595571529052</v>
      </c>
      <c r="L122" s="2">
        <v>45787</v>
      </c>
      <c r="M122" s="1" t="s">
        <v>532</v>
      </c>
    </row>
    <row r="125" spans="1:13" ht="15" thickBot="1" x14ac:dyDescent="0.4"/>
    <row r="126" spans="1:13" x14ac:dyDescent="0.35">
      <c r="A126" s="26" t="s">
        <v>1080</v>
      </c>
      <c r="B126" s="27"/>
      <c r="C126" s="27"/>
      <c r="D126" s="27"/>
      <c r="E126" s="27"/>
      <c r="F126" s="28"/>
    </row>
    <row r="127" spans="1:13" x14ac:dyDescent="0.35">
      <c r="A127" s="29" t="s">
        <v>1079</v>
      </c>
      <c r="B127" s="30" t="s">
        <v>1076</v>
      </c>
      <c r="C127" s="31"/>
      <c r="D127" s="31"/>
      <c r="E127" s="31"/>
      <c r="F127" s="32"/>
    </row>
    <row r="128" spans="1:13" x14ac:dyDescent="0.35">
      <c r="A128" s="29" t="s">
        <v>1062</v>
      </c>
      <c r="B128" s="31" t="s">
        <v>25</v>
      </c>
      <c r="C128" s="31" t="s">
        <v>32</v>
      </c>
      <c r="D128" s="31" t="s">
        <v>17</v>
      </c>
      <c r="E128" s="31" t="s">
        <v>11</v>
      </c>
      <c r="F128" s="32" t="s">
        <v>1063</v>
      </c>
    </row>
    <row r="129" spans="1:6" x14ac:dyDescent="0.35">
      <c r="A129" s="33" t="s">
        <v>531</v>
      </c>
      <c r="B129" s="34">
        <v>7961.0392601260082</v>
      </c>
      <c r="C129" s="34">
        <v>6396.4543444625542</v>
      </c>
      <c r="D129" s="34">
        <v>9401.4417919610769</v>
      </c>
      <c r="E129" s="34">
        <v>5594.8298132611644</v>
      </c>
      <c r="F129" s="35">
        <v>29353.765209810805</v>
      </c>
    </row>
    <row r="130" spans="1:6" x14ac:dyDescent="0.35">
      <c r="A130" s="33" t="s">
        <v>533</v>
      </c>
      <c r="B130" s="34">
        <v>5065.400353539253</v>
      </c>
      <c r="C130" s="34">
        <v>4253.1059265826107</v>
      </c>
      <c r="D130" s="34">
        <v>8277.1147156867246</v>
      </c>
      <c r="E130" s="34">
        <v>4669.4369865381741</v>
      </c>
      <c r="F130" s="35">
        <v>22265.057982346763</v>
      </c>
    </row>
    <row r="131" spans="1:6" x14ac:dyDescent="0.35">
      <c r="A131" s="33" t="s">
        <v>534</v>
      </c>
      <c r="B131" s="34">
        <v>6761.794194983635</v>
      </c>
      <c r="C131" s="34">
        <v>2549.9256703811907</v>
      </c>
      <c r="D131" s="34">
        <v>1979.1188891826976</v>
      </c>
      <c r="E131" s="34">
        <v>6817.8487958004725</v>
      </c>
      <c r="F131" s="35">
        <v>18108.687550347997</v>
      </c>
    </row>
    <row r="132" spans="1:6" x14ac:dyDescent="0.35">
      <c r="A132" s="33" t="s">
        <v>532</v>
      </c>
      <c r="B132" s="34">
        <v>3749.4680564586097</v>
      </c>
      <c r="C132" s="34">
        <v>5761.065863138876</v>
      </c>
      <c r="D132" s="34">
        <v>6413.8821853619656</v>
      </c>
      <c r="E132" s="34">
        <v>3502.9022111748154</v>
      </c>
      <c r="F132" s="35">
        <v>19427.318316134268</v>
      </c>
    </row>
    <row r="133" spans="1:6" ht="15" thickBot="1" x14ac:dyDescent="0.4">
      <c r="A133" s="36" t="s">
        <v>1063</v>
      </c>
      <c r="B133" s="37">
        <v>23537.701865107505</v>
      </c>
      <c r="C133" s="37">
        <v>18960.551804565232</v>
      </c>
      <c r="D133" s="37">
        <v>26071.557582192465</v>
      </c>
      <c r="E133" s="37">
        <v>20585.017806774627</v>
      </c>
      <c r="F133" s="38">
        <v>89154.829058639822</v>
      </c>
    </row>
    <row r="153" spans="1:3" ht="15" thickBot="1" x14ac:dyDescent="0.4"/>
    <row r="154" spans="1:3" ht="15" thickBot="1" x14ac:dyDescent="0.4">
      <c r="A154" s="19" t="s">
        <v>1084</v>
      </c>
      <c r="B154" s="20"/>
      <c r="C154" s="21"/>
    </row>
    <row r="155" spans="1:3" x14ac:dyDescent="0.35">
      <c r="A155" s="4" t="s">
        <v>1062</v>
      </c>
      <c r="B155" t="s">
        <v>1079</v>
      </c>
      <c r="C155" t="s">
        <v>1082</v>
      </c>
    </row>
    <row r="156" spans="1:3" x14ac:dyDescent="0.35">
      <c r="A156" s="5" t="s">
        <v>42</v>
      </c>
      <c r="B156" s="16">
        <v>16717.941675902526</v>
      </c>
      <c r="C156" s="16">
        <v>23475</v>
      </c>
    </row>
    <row r="157" spans="1:3" x14ac:dyDescent="0.35">
      <c r="A157" s="5" t="s">
        <v>33</v>
      </c>
      <c r="B157" s="16">
        <v>17209.982090884736</v>
      </c>
      <c r="C157" s="16">
        <v>22209</v>
      </c>
    </row>
    <row r="158" spans="1:3" x14ac:dyDescent="0.35">
      <c r="A158" s="5" t="s">
        <v>23</v>
      </c>
      <c r="B158" s="16">
        <v>15664.928608815799</v>
      </c>
      <c r="C158" s="16">
        <v>21216</v>
      </c>
    </row>
    <row r="159" spans="1:3" x14ac:dyDescent="0.35">
      <c r="A159" s="5" t="s">
        <v>18</v>
      </c>
      <c r="B159" s="16">
        <v>12905.508624558806</v>
      </c>
      <c r="C159" s="16">
        <v>18622</v>
      </c>
    </row>
    <row r="160" spans="1:3" x14ac:dyDescent="0.35">
      <c r="A160" s="5" t="s">
        <v>14</v>
      </c>
      <c r="B160" s="16">
        <v>26656.468058477949</v>
      </c>
      <c r="C160" s="16">
        <v>35026</v>
      </c>
    </row>
    <row r="161" spans="1:3" x14ac:dyDescent="0.35">
      <c r="A161" s="5" t="s">
        <v>1063</v>
      </c>
      <c r="B161" s="16">
        <v>89154.829058639822</v>
      </c>
      <c r="C161" s="16">
        <v>120548</v>
      </c>
    </row>
  </sheetData>
  <mergeCells count="2">
    <mergeCell ref="A126:F126"/>
    <mergeCell ref="A154:C154"/>
  </mergeCells>
  <pageMargins left="0.7" right="0.7" top="0.75" bottom="0.75" header="0.3" footer="0.3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CFC5-58CA-4AA4-8F4A-B59570D42B6E}">
  <dimension ref="A1:M580"/>
  <sheetViews>
    <sheetView tabSelected="1" zoomScale="50" zoomScaleNormal="50" workbookViewId="0">
      <selection activeCell="A515" sqref="A515:M599"/>
    </sheetView>
  </sheetViews>
  <sheetFormatPr defaultRowHeight="14.5" x14ac:dyDescent="0.35"/>
  <cols>
    <col min="1" max="1" width="12.36328125" bestFit="1" customWidth="1"/>
    <col min="2" max="2" width="22" bestFit="1" customWidth="1"/>
    <col min="3" max="3" width="18.81640625" bestFit="1" customWidth="1"/>
    <col min="4" max="4" width="20.54296875" bestFit="1" customWidth="1"/>
    <col min="5" max="5" width="17.81640625" bestFit="1" customWidth="1"/>
    <col min="6" max="6" width="20.54296875" bestFit="1" customWidth="1"/>
    <col min="7" max="7" width="17.81640625" bestFit="1" customWidth="1"/>
    <col min="8" max="8" width="20.54296875" bestFit="1" customWidth="1"/>
    <col min="9" max="9" width="17.81640625" bestFit="1" customWidth="1"/>
    <col min="10" max="10" width="20.54296875" bestFit="1" customWidth="1"/>
    <col min="11" max="11" width="17.81640625" bestFit="1" customWidth="1"/>
    <col min="12" max="12" width="25.453125" bestFit="1" customWidth="1"/>
    <col min="13" max="13" width="33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>
        <v>1034</v>
      </c>
      <c r="F2">
        <v>383</v>
      </c>
      <c r="G2" s="1" t="s">
        <v>13</v>
      </c>
      <c r="H2" s="1" t="s">
        <v>14</v>
      </c>
      <c r="I2" s="2">
        <v>45699</v>
      </c>
    </row>
    <row r="3" spans="1:9" x14ac:dyDescent="0.35">
      <c r="A3" s="1" t="s">
        <v>15</v>
      </c>
      <c r="B3" s="1" t="s">
        <v>16</v>
      </c>
      <c r="C3" s="1" t="s">
        <v>17</v>
      </c>
      <c r="D3" s="1" t="s">
        <v>12</v>
      </c>
      <c r="E3">
        <v>1416</v>
      </c>
      <c r="F3">
        <v>51</v>
      </c>
      <c r="G3" s="1" t="s">
        <v>13</v>
      </c>
      <c r="H3" s="1" t="s">
        <v>18</v>
      </c>
      <c r="I3" s="2">
        <v>45670</v>
      </c>
    </row>
    <row r="4" spans="1:9" x14ac:dyDescent="0.35">
      <c r="A4" s="1" t="s">
        <v>19</v>
      </c>
      <c r="B4" s="1" t="s">
        <v>20</v>
      </c>
      <c r="C4" s="1" t="s">
        <v>17</v>
      </c>
      <c r="D4" s="1" t="s">
        <v>21</v>
      </c>
      <c r="E4">
        <v>1666</v>
      </c>
      <c r="F4">
        <v>342</v>
      </c>
      <c r="G4" s="1" t="s">
        <v>13</v>
      </c>
      <c r="H4" s="1" t="s">
        <v>14</v>
      </c>
      <c r="I4" s="2">
        <v>45730</v>
      </c>
    </row>
    <row r="5" spans="1:9" x14ac:dyDescent="0.35">
      <c r="A5" s="1" t="s">
        <v>22</v>
      </c>
      <c r="B5" s="1" t="s">
        <v>16</v>
      </c>
      <c r="C5" s="1" t="s">
        <v>11</v>
      </c>
      <c r="D5" s="1" t="s">
        <v>12</v>
      </c>
      <c r="E5">
        <v>1539</v>
      </c>
      <c r="F5">
        <v>374</v>
      </c>
      <c r="G5" s="1" t="s">
        <v>13</v>
      </c>
      <c r="H5" s="1" t="s">
        <v>23</v>
      </c>
      <c r="I5" s="2">
        <v>45731</v>
      </c>
    </row>
    <row r="6" spans="1:9" x14ac:dyDescent="0.35">
      <c r="A6" s="1" t="s">
        <v>24</v>
      </c>
      <c r="B6" s="1" t="s">
        <v>16</v>
      </c>
      <c r="C6" s="1" t="s">
        <v>25</v>
      </c>
      <c r="D6" s="1" t="s">
        <v>12</v>
      </c>
      <c r="E6">
        <v>1503</v>
      </c>
      <c r="F6">
        <v>90</v>
      </c>
      <c r="G6" s="1" t="s">
        <v>13</v>
      </c>
      <c r="H6" s="1" t="s">
        <v>23</v>
      </c>
      <c r="I6" s="2">
        <v>45658</v>
      </c>
    </row>
    <row r="7" spans="1:9" x14ac:dyDescent="0.35">
      <c r="A7" s="1" t="s">
        <v>26</v>
      </c>
      <c r="B7" s="1" t="s">
        <v>27</v>
      </c>
      <c r="C7" s="1" t="s">
        <v>17</v>
      </c>
      <c r="D7" s="1" t="s">
        <v>12</v>
      </c>
      <c r="E7">
        <v>1280</v>
      </c>
      <c r="F7">
        <v>367</v>
      </c>
      <c r="G7" s="1" t="s">
        <v>13</v>
      </c>
      <c r="H7" s="1" t="s">
        <v>18</v>
      </c>
      <c r="I7" s="2">
        <v>45690</v>
      </c>
    </row>
    <row r="8" spans="1:9" x14ac:dyDescent="0.35">
      <c r="A8" s="1" t="s">
        <v>28</v>
      </c>
      <c r="B8" s="1" t="s">
        <v>20</v>
      </c>
      <c r="C8" s="1" t="s">
        <v>17</v>
      </c>
      <c r="D8" s="1" t="s">
        <v>12</v>
      </c>
      <c r="E8">
        <v>375</v>
      </c>
      <c r="F8">
        <v>365</v>
      </c>
      <c r="G8" s="1" t="s">
        <v>13</v>
      </c>
      <c r="H8" s="1" t="s">
        <v>14</v>
      </c>
      <c r="I8" s="2">
        <v>45669</v>
      </c>
    </row>
    <row r="9" spans="1:9" x14ac:dyDescent="0.35">
      <c r="A9" s="1" t="s">
        <v>29</v>
      </c>
      <c r="B9" s="1" t="s">
        <v>20</v>
      </c>
      <c r="C9" s="1" t="s">
        <v>17</v>
      </c>
      <c r="D9" s="1" t="s">
        <v>12</v>
      </c>
      <c r="E9">
        <v>974</v>
      </c>
      <c r="F9">
        <v>160</v>
      </c>
      <c r="G9" s="1" t="s">
        <v>13</v>
      </c>
      <c r="H9" s="1" t="s">
        <v>14</v>
      </c>
      <c r="I9" s="2">
        <v>45770</v>
      </c>
    </row>
    <row r="10" spans="1:9" x14ac:dyDescent="0.35">
      <c r="A10" s="1" t="s">
        <v>30</v>
      </c>
      <c r="B10" s="1" t="s">
        <v>20</v>
      </c>
      <c r="C10" s="1" t="s">
        <v>11</v>
      </c>
      <c r="D10" s="1" t="s">
        <v>12</v>
      </c>
      <c r="E10">
        <v>367</v>
      </c>
      <c r="F10">
        <v>63</v>
      </c>
      <c r="G10" s="1" t="s">
        <v>13</v>
      </c>
      <c r="H10" s="1" t="s">
        <v>14</v>
      </c>
      <c r="I10" s="2">
        <v>45664</v>
      </c>
    </row>
    <row r="11" spans="1:9" x14ac:dyDescent="0.35">
      <c r="A11" s="1" t="s">
        <v>31</v>
      </c>
      <c r="B11" s="1" t="s">
        <v>16</v>
      </c>
      <c r="C11" s="1" t="s">
        <v>32</v>
      </c>
      <c r="D11" s="1" t="s">
        <v>12</v>
      </c>
      <c r="E11">
        <v>1086</v>
      </c>
      <c r="F11">
        <v>280</v>
      </c>
      <c r="G11" s="1" t="s">
        <v>13</v>
      </c>
      <c r="H11" s="1" t="s">
        <v>33</v>
      </c>
      <c r="I11" s="2">
        <v>45697</v>
      </c>
    </row>
    <row r="12" spans="1:9" x14ac:dyDescent="0.35">
      <c r="A12" s="1" t="s">
        <v>34</v>
      </c>
      <c r="B12" s="1" t="s">
        <v>10</v>
      </c>
      <c r="C12" s="1" t="s">
        <v>17</v>
      </c>
      <c r="D12" s="1" t="s">
        <v>12</v>
      </c>
      <c r="E12">
        <v>902</v>
      </c>
      <c r="F12">
        <v>133</v>
      </c>
      <c r="G12" s="1" t="s">
        <v>13</v>
      </c>
      <c r="H12" s="1" t="s">
        <v>23</v>
      </c>
      <c r="I12" s="2">
        <v>45733</v>
      </c>
    </row>
    <row r="13" spans="1:9" x14ac:dyDescent="0.35">
      <c r="A13" s="1" t="s">
        <v>35</v>
      </c>
      <c r="B13" s="1" t="s">
        <v>20</v>
      </c>
      <c r="C13" s="1" t="s">
        <v>32</v>
      </c>
      <c r="D13" s="1" t="s">
        <v>12</v>
      </c>
      <c r="E13">
        <v>655</v>
      </c>
      <c r="F13">
        <v>179</v>
      </c>
      <c r="G13" s="1" t="s">
        <v>13</v>
      </c>
      <c r="H13" s="1" t="s">
        <v>14</v>
      </c>
      <c r="I13" s="2">
        <v>45713</v>
      </c>
    </row>
    <row r="14" spans="1:9" x14ac:dyDescent="0.35">
      <c r="A14" s="1" t="s">
        <v>36</v>
      </c>
      <c r="B14" s="1" t="s">
        <v>37</v>
      </c>
      <c r="C14" s="1" t="s">
        <v>25</v>
      </c>
      <c r="D14" s="1" t="s">
        <v>12</v>
      </c>
      <c r="E14">
        <v>408</v>
      </c>
      <c r="F14">
        <v>280</v>
      </c>
      <c r="G14" s="1" t="s">
        <v>13</v>
      </c>
      <c r="H14" s="1" t="s">
        <v>14</v>
      </c>
      <c r="I14" s="2">
        <v>45725</v>
      </c>
    </row>
    <row r="15" spans="1:9" x14ac:dyDescent="0.35">
      <c r="A15" s="1" t="s">
        <v>38</v>
      </c>
      <c r="B15" s="1" t="s">
        <v>16</v>
      </c>
      <c r="C15" s="1" t="s">
        <v>17</v>
      </c>
      <c r="D15" s="1" t="s">
        <v>12</v>
      </c>
      <c r="E15">
        <v>1947</v>
      </c>
      <c r="F15">
        <v>375</v>
      </c>
      <c r="G15" s="1" t="s">
        <v>13</v>
      </c>
      <c r="H15" s="1" t="s">
        <v>33</v>
      </c>
      <c r="I15" s="2">
        <v>45695</v>
      </c>
    </row>
    <row r="16" spans="1:9" x14ac:dyDescent="0.35">
      <c r="A16" s="1" t="s">
        <v>39</v>
      </c>
      <c r="B16" s="1" t="s">
        <v>27</v>
      </c>
      <c r="C16" s="1" t="s">
        <v>17</v>
      </c>
      <c r="D16" s="1" t="s">
        <v>12</v>
      </c>
      <c r="E16">
        <v>1690</v>
      </c>
      <c r="F16">
        <v>194</v>
      </c>
      <c r="G16" s="1" t="s">
        <v>13</v>
      </c>
      <c r="H16" s="1" t="s">
        <v>33</v>
      </c>
      <c r="I16" s="2">
        <v>45673</v>
      </c>
    </row>
    <row r="17" spans="1:9" x14ac:dyDescent="0.35">
      <c r="A17" s="1" t="s">
        <v>40</v>
      </c>
      <c r="B17" s="1" t="s">
        <v>10</v>
      </c>
      <c r="C17" s="1" t="s">
        <v>25</v>
      </c>
      <c r="D17" s="1" t="s">
        <v>12</v>
      </c>
      <c r="E17">
        <v>1946</v>
      </c>
      <c r="F17">
        <v>394</v>
      </c>
      <c r="G17" s="1" t="s">
        <v>13</v>
      </c>
      <c r="H17" s="1" t="s">
        <v>14</v>
      </c>
      <c r="I17" s="2">
        <v>45772</v>
      </c>
    </row>
    <row r="18" spans="1:9" x14ac:dyDescent="0.35">
      <c r="A18" s="1" t="s">
        <v>41</v>
      </c>
      <c r="B18" s="1" t="s">
        <v>37</v>
      </c>
      <c r="C18" s="1" t="s">
        <v>17</v>
      </c>
      <c r="D18" s="1" t="s">
        <v>12</v>
      </c>
      <c r="E18">
        <v>203</v>
      </c>
      <c r="F18">
        <v>77</v>
      </c>
      <c r="G18" s="1" t="s">
        <v>13</v>
      </c>
      <c r="H18" s="1" t="s">
        <v>42</v>
      </c>
      <c r="I18" s="2">
        <v>45748</v>
      </c>
    </row>
    <row r="19" spans="1:9" x14ac:dyDescent="0.35">
      <c r="A19" s="1" t="s">
        <v>43</v>
      </c>
      <c r="B19" s="1" t="s">
        <v>37</v>
      </c>
      <c r="C19" s="1" t="s">
        <v>32</v>
      </c>
      <c r="D19" s="1" t="s">
        <v>12</v>
      </c>
      <c r="E19">
        <v>1220</v>
      </c>
      <c r="F19">
        <v>115</v>
      </c>
      <c r="G19" s="1" t="s">
        <v>13</v>
      </c>
      <c r="H19" s="1" t="s">
        <v>14</v>
      </c>
      <c r="I19" s="2">
        <v>45773</v>
      </c>
    </row>
    <row r="20" spans="1:9" x14ac:dyDescent="0.35">
      <c r="A20" s="1" t="s">
        <v>44</v>
      </c>
      <c r="B20" s="1" t="s">
        <v>27</v>
      </c>
      <c r="C20" s="1" t="s">
        <v>11</v>
      </c>
      <c r="D20" s="1" t="s">
        <v>12</v>
      </c>
      <c r="E20">
        <v>876</v>
      </c>
      <c r="F20">
        <v>212</v>
      </c>
      <c r="G20" s="1" t="s">
        <v>13</v>
      </c>
      <c r="H20" s="1" t="s">
        <v>14</v>
      </c>
      <c r="I20" s="2">
        <v>45715</v>
      </c>
    </row>
    <row r="21" spans="1:9" x14ac:dyDescent="0.35">
      <c r="A21" s="1" t="s">
        <v>45</v>
      </c>
      <c r="B21" s="1" t="s">
        <v>10</v>
      </c>
      <c r="C21" s="1" t="s">
        <v>32</v>
      </c>
      <c r="D21" s="1" t="s">
        <v>21</v>
      </c>
      <c r="E21">
        <v>838</v>
      </c>
      <c r="F21">
        <v>278</v>
      </c>
      <c r="G21" s="1" t="s">
        <v>13</v>
      </c>
      <c r="H21" s="1" t="s">
        <v>33</v>
      </c>
      <c r="I21" s="2">
        <v>45712</v>
      </c>
    </row>
    <row r="22" spans="1:9" x14ac:dyDescent="0.35">
      <c r="A22" s="1" t="s">
        <v>46</v>
      </c>
      <c r="B22" s="1" t="s">
        <v>16</v>
      </c>
      <c r="C22" s="1" t="s">
        <v>11</v>
      </c>
      <c r="D22" s="1" t="s">
        <v>12</v>
      </c>
      <c r="E22">
        <v>1694</v>
      </c>
      <c r="F22">
        <v>310</v>
      </c>
      <c r="G22" s="1" t="s">
        <v>13</v>
      </c>
      <c r="H22" s="1" t="s">
        <v>33</v>
      </c>
      <c r="I22" s="2">
        <v>45773</v>
      </c>
    </row>
    <row r="23" spans="1:9" x14ac:dyDescent="0.35">
      <c r="A23" s="1" t="s">
        <v>47</v>
      </c>
      <c r="B23" s="1" t="s">
        <v>48</v>
      </c>
      <c r="C23" s="1" t="s">
        <v>11</v>
      </c>
      <c r="D23" s="1" t="s">
        <v>12</v>
      </c>
      <c r="E23">
        <v>1272</v>
      </c>
      <c r="F23">
        <v>213</v>
      </c>
      <c r="G23" s="1" t="s">
        <v>13</v>
      </c>
      <c r="H23" s="1" t="s">
        <v>14</v>
      </c>
      <c r="I23" s="2">
        <v>45740</v>
      </c>
    </row>
    <row r="24" spans="1:9" x14ac:dyDescent="0.35">
      <c r="A24" s="1" t="s">
        <v>49</v>
      </c>
      <c r="B24" s="1" t="s">
        <v>10</v>
      </c>
      <c r="C24" s="1" t="s">
        <v>32</v>
      </c>
      <c r="D24" s="1" t="s">
        <v>21</v>
      </c>
      <c r="E24">
        <v>1193</v>
      </c>
      <c r="F24">
        <v>350</v>
      </c>
      <c r="G24" s="1" t="s">
        <v>13</v>
      </c>
      <c r="H24" s="1" t="s">
        <v>14</v>
      </c>
      <c r="I24" s="2">
        <v>45685</v>
      </c>
    </row>
    <row r="25" spans="1:9" x14ac:dyDescent="0.35">
      <c r="A25" s="1" t="s">
        <v>50</v>
      </c>
      <c r="B25" s="1" t="s">
        <v>27</v>
      </c>
      <c r="C25" s="1" t="s">
        <v>32</v>
      </c>
      <c r="D25" s="1" t="s">
        <v>51</v>
      </c>
      <c r="E25">
        <v>1926</v>
      </c>
      <c r="F25">
        <v>352</v>
      </c>
      <c r="G25" s="1" t="s">
        <v>13</v>
      </c>
      <c r="H25" s="1" t="s">
        <v>14</v>
      </c>
      <c r="I25" s="2">
        <v>45740</v>
      </c>
    </row>
    <row r="26" spans="1:9" x14ac:dyDescent="0.35">
      <c r="A26" s="1" t="s">
        <v>52</v>
      </c>
      <c r="B26" s="1" t="s">
        <v>37</v>
      </c>
      <c r="C26" s="1" t="s">
        <v>32</v>
      </c>
      <c r="D26" s="1" t="s">
        <v>12</v>
      </c>
      <c r="E26">
        <v>1746</v>
      </c>
      <c r="F26">
        <v>336</v>
      </c>
      <c r="G26" s="1" t="s">
        <v>13</v>
      </c>
      <c r="H26" s="1" t="s">
        <v>33</v>
      </c>
      <c r="I26" s="2">
        <v>45773</v>
      </c>
    </row>
    <row r="27" spans="1:9" x14ac:dyDescent="0.35">
      <c r="A27" s="1" t="s">
        <v>53</v>
      </c>
      <c r="B27" s="1" t="s">
        <v>16</v>
      </c>
      <c r="C27" s="1" t="s">
        <v>32</v>
      </c>
      <c r="D27" s="1" t="s">
        <v>12</v>
      </c>
      <c r="E27">
        <v>1663</v>
      </c>
      <c r="F27">
        <v>59</v>
      </c>
      <c r="G27" s="1" t="s">
        <v>13</v>
      </c>
      <c r="H27" s="1" t="s">
        <v>14</v>
      </c>
      <c r="I27" s="2">
        <v>45745</v>
      </c>
    </row>
    <row r="28" spans="1:9" x14ac:dyDescent="0.35">
      <c r="A28" s="1" t="s">
        <v>54</v>
      </c>
      <c r="B28" s="1" t="s">
        <v>10</v>
      </c>
      <c r="C28" s="1" t="s">
        <v>25</v>
      </c>
      <c r="D28" s="1" t="s">
        <v>21</v>
      </c>
      <c r="E28">
        <v>568</v>
      </c>
      <c r="F28">
        <v>244</v>
      </c>
      <c r="G28" s="1" t="s">
        <v>13</v>
      </c>
      <c r="H28" s="1" t="s">
        <v>14</v>
      </c>
      <c r="I28" s="2">
        <v>45692</v>
      </c>
    </row>
    <row r="29" spans="1:9" x14ac:dyDescent="0.35">
      <c r="A29" s="1" t="s">
        <v>55</v>
      </c>
      <c r="B29" s="1" t="s">
        <v>48</v>
      </c>
      <c r="C29" s="1" t="s">
        <v>17</v>
      </c>
      <c r="D29" s="1" t="s">
        <v>21</v>
      </c>
      <c r="E29">
        <v>839</v>
      </c>
      <c r="F29">
        <v>167</v>
      </c>
      <c r="G29" s="1" t="s">
        <v>13</v>
      </c>
      <c r="H29" s="1" t="s">
        <v>18</v>
      </c>
      <c r="I29" s="2">
        <v>45694</v>
      </c>
    </row>
    <row r="30" spans="1:9" x14ac:dyDescent="0.35">
      <c r="A30" s="1" t="s">
        <v>56</v>
      </c>
      <c r="B30" s="1" t="s">
        <v>48</v>
      </c>
      <c r="C30" s="1" t="s">
        <v>11</v>
      </c>
      <c r="D30" s="1" t="s">
        <v>12</v>
      </c>
      <c r="E30">
        <v>999</v>
      </c>
      <c r="F30">
        <v>319</v>
      </c>
      <c r="G30" s="1" t="s">
        <v>13</v>
      </c>
      <c r="H30" s="1" t="s">
        <v>42</v>
      </c>
      <c r="I30" s="2">
        <v>45666</v>
      </c>
    </row>
    <row r="31" spans="1:9" x14ac:dyDescent="0.35">
      <c r="A31" s="1" t="s">
        <v>57</v>
      </c>
      <c r="B31" s="1" t="s">
        <v>20</v>
      </c>
      <c r="C31" s="1" t="s">
        <v>32</v>
      </c>
      <c r="D31" s="1" t="s">
        <v>12</v>
      </c>
      <c r="E31">
        <v>211</v>
      </c>
      <c r="F31">
        <v>129</v>
      </c>
      <c r="G31" s="1" t="s">
        <v>13</v>
      </c>
      <c r="H31" s="1" t="s">
        <v>23</v>
      </c>
      <c r="I31" s="2">
        <v>45667</v>
      </c>
    </row>
    <row r="32" spans="1:9" x14ac:dyDescent="0.35">
      <c r="A32" s="1" t="s">
        <v>58</v>
      </c>
      <c r="B32" s="1" t="s">
        <v>20</v>
      </c>
      <c r="C32" s="1" t="s">
        <v>32</v>
      </c>
      <c r="D32" s="1" t="s">
        <v>12</v>
      </c>
      <c r="E32">
        <v>1318</v>
      </c>
      <c r="F32">
        <v>142</v>
      </c>
      <c r="G32" s="1" t="s">
        <v>13</v>
      </c>
      <c r="H32" s="1" t="s">
        <v>42</v>
      </c>
      <c r="I32" s="2">
        <v>45736</v>
      </c>
    </row>
    <row r="33" spans="1:9" x14ac:dyDescent="0.35">
      <c r="A33" s="1" t="s">
        <v>59</v>
      </c>
      <c r="B33" s="1" t="s">
        <v>27</v>
      </c>
      <c r="C33" s="1" t="s">
        <v>32</v>
      </c>
      <c r="D33" s="1" t="s">
        <v>12</v>
      </c>
      <c r="E33">
        <v>365</v>
      </c>
      <c r="F33">
        <v>315</v>
      </c>
      <c r="G33" s="1" t="s">
        <v>13</v>
      </c>
      <c r="H33" s="1" t="s">
        <v>18</v>
      </c>
      <c r="I33" s="2">
        <v>45761</v>
      </c>
    </row>
    <row r="34" spans="1:9" x14ac:dyDescent="0.35">
      <c r="A34" s="1" t="s">
        <v>60</v>
      </c>
      <c r="B34" s="1" t="s">
        <v>10</v>
      </c>
      <c r="C34" s="1" t="s">
        <v>25</v>
      </c>
      <c r="D34" s="1" t="s">
        <v>12</v>
      </c>
      <c r="E34">
        <v>152</v>
      </c>
      <c r="F34">
        <v>381</v>
      </c>
      <c r="G34" s="1" t="s">
        <v>13</v>
      </c>
      <c r="H34" s="1" t="s">
        <v>23</v>
      </c>
      <c r="I34" s="2">
        <v>45730</v>
      </c>
    </row>
    <row r="35" spans="1:9" x14ac:dyDescent="0.35">
      <c r="A35" s="1" t="s">
        <v>61</v>
      </c>
      <c r="B35" s="1" t="s">
        <v>10</v>
      </c>
      <c r="C35" s="1" t="s">
        <v>32</v>
      </c>
      <c r="D35" s="1" t="s">
        <v>12</v>
      </c>
      <c r="E35">
        <v>309</v>
      </c>
      <c r="F35">
        <v>399</v>
      </c>
      <c r="G35" s="1" t="s">
        <v>13</v>
      </c>
      <c r="H35" s="1" t="s">
        <v>14</v>
      </c>
      <c r="I35" s="2">
        <v>45702</v>
      </c>
    </row>
    <row r="36" spans="1:9" x14ac:dyDescent="0.35">
      <c r="A36" s="1" t="s">
        <v>62</v>
      </c>
      <c r="B36" s="1" t="s">
        <v>37</v>
      </c>
      <c r="C36" s="1" t="s">
        <v>32</v>
      </c>
      <c r="D36" s="1" t="s">
        <v>12</v>
      </c>
      <c r="E36">
        <v>1912</v>
      </c>
      <c r="F36">
        <v>306</v>
      </c>
      <c r="G36" s="1" t="s">
        <v>13</v>
      </c>
      <c r="H36" s="1" t="s">
        <v>18</v>
      </c>
      <c r="I36" s="2">
        <v>45748</v>
      </c>
    </row>
    <row r="37" spans="1:9" x14ac:dyDescent="0.35">
      <c r="A37" s="1" t="s">
        <v>63</v>
      </c>
      <c r="B37" s="1" t="s">
        <v>37</v>
      </c>
      <c r="C37" s="1" t="s">
        <v>32</v>
      </c>
      <c r="D37" s="1" t="s">
        <v>21</v>
      </c>
      <c r="E37">
        <v>930</v>
      </c>
      <c r="F37">
        <v>182</v>
      </c>
      <c r="G37" s="1" t="s">
        <v>13</v>
      </c>
      <c r="H37" s="1" t="s">
        <v>14</v>
      </c>
      <c r="I37" s="2">
        <v>45750</v>
      </c>
    </row>
    <row r="38" spans="1:9" x14ac:dyDescent="0.35">
      <c r="A38" s="1" t="s">
        <v>64</v>
      </c>
      <c r="B38" s="1" t="s">
        <v>37</v>
      </c>
      <c r="C38" s="1" t="s">
        <v>17</v>
      </c>
      <c r="D38" s="1" t="s">
        <v>12</v>
      </c>
      <c r="E38">
        <v>1293</v>
      </c>
      <c r="F38">
        <v>325</v>
      </c>
      <c r="G38" s="1" t="s">
        <v>13</v>
      </c>
      <c r="H38" s="1" t="s">
        <v>33</v>
      </c>
      <c r="I38" s="2">
        <v>45774</v>
      </c>
    </row>
    <row r="39" spans="1:9" x14ac:dyDescent="0.35">
      <c r="A39" s="1" t="s">
        <v>65</v>
      </c>
      <c r="B39" s="1" t="s">
        <v>20</v>
      </c>
      <c r="C39" s="1" t="s">
        <v>25</v>
      </c>
      <c r="D39" s="1" t="s">
        <v>12</v>
      </c>
      <c r="E39">
        <v>1042</v>
      </c>
      <c r="F39">
        <v>313</v>
      </c>
      <c r="G39" s="1" t="s">
        <v>13</v>
      </c>
      <c r="H39" s="1" t="s">
        <v>18</v>
      </c>
      <c r="I39" s="2">
        <v>45735</v>
      </c>
    </row>
    <row r="40" spans="1:9" x14ac:dyDescent="0.35">
      <c r="A40" s="1" t="s">
        <v>66</v>
      </c>
      <c r="B40" s="1" t="s">
        <v>10</v>
      </c>
      <c r="C40" s="1" t="s">
        <v>32</v>
      </c>
      <c r="D40" s="1" t="s">
        <v>21</v>
      </c>
      <c r="E40">
        <v>1262</v>
      </c>
      <c r="F40">
        <v>220</v>
      </c>
      <c r="G40" s="1" t="s">
        <v>13</v>
      </c>
      <c r="H40" s="1" t="s">
        <v>33</v>
      </c>
      <c r="I40" s="2">
        <v>45743</v>
      </c>
    </row>
    <row r="41" spans="1:9" x14ac:dyDescent="0.35">
      <c r="A41" s="1" t="s">
        <v>67</v>
      </c>
      <c r="B41" s="1" t="s">
        <v>10</v>
      </c>
      <c r="C41" s="1" t="s">
        <v>11</v>
      </c>
      <c r="D41" s="1" t="s">
        <v>21</v>
      </c>
      <c r="E41">
        <v>478</v>
      </c>
      <c r="F41">
        <v>50</v>
      </c>
      <c r="G41" s="1" t="s">
        <v>13</v>
      </c>
      <c r="H41" s="1" t="s">
        <v>18</v>
      </c>
      <c r="I41" s="2">
        <v>45690</v>
      </c>
    </row>
    <row r="42" spans="1:9" x14ac:dyDescent="0.35">
      <c r="A42" s="1" t="s">
        <v>68</v>
      </c>
      <c r="B42" s="1" t="s">
        <v>48</v>
      </c>
      <c r="C42" s="1" t="s">
        <v>11</v>
      </c>
      <c r="D42" s="1" t="s">
        <v>12</v>
      </c>
      <c r="E42">
        <v>729</v>
      </c>
      <c r="F42">
        <v>362</v>
      </c>
      <c r="G42" s="1" t="s">
        <v>13</v>
      </c>
      <c r="H42" s="1" t="s">
        <v>18</v>
      </c>
      <c r="I42" s="2">
        <v>45670</v>
      </c>
    </row>
    <row r="43" spans="1:9" x14ac:dyDescent="0.35">
      <c r="A43" s="1" t="s">
        <v>69</v>
      </c>
      <c r="B43" s="1" t="s">
        <v>20</v>
      </c>
      <c r="C43" s="1" t="s">
        <v>11</v>
      </c>
      <c r="D43" s="1" t="s">
        <v>12</v>
      </c>
      <c r="E43">
        <v>1530</v>
      </c>
      <c r="F43">
        <v>113</v>
      </c>
      <c r="G43" s="1" t="s">
        <v>13</v>
      </c>
      <c r="H43" s="1" t="s">
        <v>33</v>
      </c>
      <c r="I43" s="2">
        <v>45687</v>
      </c>
    </row>
    <row r="44" spans="1:9" x14ac:dyDescent="0.35">
      <c r="A44" s="1" t="s">
        <v>70</v>
      </c>
      <c r="B44" s="1" t="s">
        <v>16</v>
      </c>
      <c r="C44" s="1" t="s">
        <v>25</v>
      </c>
      <c r="D44" s="1" t="s">
        <v>12</v>
      </c>
      <c r="E44">
        <v>1783</v>
      </c>
      <c r="F44">
        <v>333</v>
      </c>
      <c r="G44" s="1" t="s">
        <v>13</v>
      </c>
      <c r="H44" s="1" t="s">
        <v>23</v>
      </c>
      <c r="I44" s="2">
        <v>45759</v>
      </c>
    </row>
    <row r="45" spans="1:9" x14ac:dyDescent="0.35">
      <c r="A45" s="1" t="s">
        <v>71</v>
      </c>
      <c r="B45" s="1" t="s">
        <v>20</v>
      </c>
      <c r="C45" s="1" t="s">
        <v>25</v>
      </c>
      <c r="D45" s="1" t="s">
        <v>12</v>
      </c>
      <c r="E45">
        <v>1440</v>
      </c>
      <c r="F45">
        <v>170</v>
      </c>
      <c r="G45" s="1" t="s">
        <v>13</v>
      </c>
      <c r="H45" s="1" t="s">
        <v>42</v>
      </c>
      <c r="I45" s="2">
        <v>45736</v>
      </c>
    </row>
    <row r="46" spans="1:9" x14ac:dyDescent="0.35">
      <c r="A46" s="1" t="s">
        <v>72</v>
      </c>
      <c r="B46" s="1" t="s">
        <v>16</v>
      </c>
      <c r="C46" s="1" t="s">
        <v>11</v>
      </c>
      <c r="D46" s="1" t="s">
        <v>12</v>
      </c>
      <c r="E46">
        <v>1790</v>
      </c>
      <c r="F46">
        <v>156</v>
      </c>
      <c r="G46" s="1" t="s">
        <v>13</v>
      </c>
      <c r="H46" s="1" t="s">
        <v>14</v>
      </c>
      <c r="I46" s="2">
        <v>45771</v>
      </c>
    </row>
    <row r="47" spans="1:9" x14ac:dyDescent="0.35">
      <c r="A47" s="1" t="s">
        <v>73</v>
      </c>
      <c r="B47" s="1" t="s">
        <v>48</v>
      </c>
      <c r="C47" s="1" t="s">
        <v>32</v>
      </c>
      <c r="D47" s="1" t="s">
        <v>12</v>
      </c>
      <c r="E47">
        <v>1101</v>
      </c>
      <c r="F47">
        <v>224</v>
      </c>
      <c r="G47" s="1" t="s">
        <v>13</v>
      </c>
      <c r="H47" s="1" t="s">
        <v>18</v>
      </c>
      <c r="I47" s="2">
        <v>45709</v>
      </c>
    </row>
    <row r="48" spans="1:9" x14ac:dyDescent="0.35">
      <c r="A48" s="1" t="s">
        <v>74</v>
      </c>
      <c r="B48" s="1" t="s">
        <v>27</v>
      </c>
      <c r="C48" s="1" t="s">
        <v>25</v>
      </c>
      <c r="D48" s="1" t="s">
        <v>12</v>
      </c>
      <c r="E48">
        <v>1496</v>
      </c>
      <c r="F48">
        <v>253</v>
      </c>
      <c r="G48" s="1" t="s">
        <v>13</v>
      </c>
      <c r="H48" s="1" t="s">
        <v>14</v>
      </c>
      <c r="I48" s="2">
        <v>45734</v>
      </c>
    </row>
    <row r="49" spans="1:9" x14ac:dyDescent="0.35">
      <c r="A49" s="1" t="s">
        <v>75</v>
      </c>
      <c r="B49" s="1" t="s">
        <v>10</v>
      </c>
      <c r="C49" s="1" t="s">
        <v>11</v>
      </c>
      <c r="D49" s="1" t="s">
        <v>12</v>
      </c>
      <c r="E49">
        <v>784</v>
      </c>
      <c r="F49">
        <v>214</v>
      </c>
      <c r="G49" s="1" t="s">
        <v>13</v>
      </c>
      <c r="H49" s="1" t="s">
        <v>33</v>
      </c>
      <c r="I49" s="2">
        <v>45769</v>
      </c>
    </row>
    <row r="50" spans="1:9" x14ac:dyDescent="0.35">
      <c r="A50" s="1" t="s">
        <v>76</v>
      </c>
      <c r="B50" s="1" t="s">
        <v>48</v>
      </c>
      <c r="C50" s="1" t="s">
        <v>11</v>
      </c>
      <c r="D50" s="1" t="s">
        <v>12</v>
      </c>
      <c r="E50">
        <v>1137</v>
      </c>
      <c r="F50">
        <v>354</v>
      </c>
      <c r="G50" s="1" t="s">
        <v>13</v>
      </c>
      <c r="H50" s="1" t="s">
        <v>14</v>
      </c>
      <c r="I50" s="2">
        <v>45731</v>
      </c>
    </row>
    <row r="51" spans="1:9" x14ac:dyDescent="0.35">
      <c r="A51" s="1" t="s">
        <v>77</v>
      </c>
      <c r="B51" s="1" t="s">
        <v>10</v>
      </c>
      <c r="C51" s="1" t="s">
        <v>32</v>
      </c>
      <c r="D51" s="1" t="s">
        <v>12</v>
      </c>
      <c r="E51">
        <v>1714</v>
      </c>
      <c r="F51">
        <v>169</v>
      </c>
      <c r="G51" s="1" t="s">
        <v>13</v>
      </c>
      <c r="H51" s="1" t="s">
        <v>33</v>
      </c>
      <c r="I51" s="2">
        <v>45765</v>
      </c>
    </row>
    <row r="52" spans="1:9" x14ac:dyDescent="0.35">
      <c r="A52" s="1" t="s">
        <v>78</v>
      </c>
      <c r="B52" s="1" t="s">
        <v>37</v>
      </c>
      <c r="C52" s="1" t="s">
        <v>17</v>
      </c>
      <c r="D52" s="1" t="s">
        <v>12</v>
      </c>
      <c r="E52">
        <v>1822</v>
      </c>
      <c r="F52">
        <v>93</v>
      </c>
      <c r="G52" s="1" t="s">
        <v>13</v>
      </c>
      <c r="H52" s="1" t="s">
        <v>14</v>
      </c>
      <c r="I52" s="2">
        <v>45778</v>
      </c>
    </row>
    <row r="53" spans="1:9" x14ac:dyDescent="0.35">
      <c r="A53" s="1" t="s">
        <v>79</v>
      </c>
      <c r="B53" s="1" t="s">
        <v>27</v>
      </c>
      <c r="C53" s="1" t="s">
        <v>25</v>
      </c>
      <c r="D53" s="1" t="s">
        <v>12</v>
      </c>
      <c r="E53">
        <v>1368</v>
      </c>
      <c r="F53">
        <v>361</v>
      </c>
      <c r="G53" s="1" t="s">
        <v>13</v>
      </c>
      <c r="H53" s="1" t="s">
        <v>42</v>
      </c>
      <c r="I53" s="2">
        <v>45719</v>
      </c>
    </row>
    <row r="54" spans="1:9" x14ac:dyDescent="0.35">
      <c r="A54" s="1" t="s">
        <v>80</v>
      </c>
      <c r="B54" s="1" t="s">
        <v>27</v>
      </c>
      <c r="C54" s="1" t="s">
        <v>32</v>
      </c>
      <c r="D54" s="1" t="s">
        <v>12</v>
      </c>
      <c r="E54">
        <v>1070</v>
      </c>
      <c r="F54">
        <v>205</v>
      </c>
      <c r="G54" s="1" t="s">
        <v>13</v>
      </c>
      <c r="H54" s="1" t="s">
        <v>42</v>
      </c>
      <c r="I54" s="2">
        <v>45678</v>
      </c>
    </row>
    <row r="55" spans="1:9" x14ac:dyDescent="0.35">
      <c r="A55" s="1" t="s">
        <v>81</v>
      </c>
      <c r="B55" s="1" t="s">
        <v>48</v>
      </c>
      <c r="C55" s="1" t="s">
        <v>11</v>
      </c>
      <c r="D55" s="1" t="s">
        <v>21</v>
      </c>
      <c r="E55">
        <v>887</v>
      </c>
      <c r="F55">
        <v>256</v>
      </c>
      <c r="G55" s="1" t="s">
        <v>13</v>
      </c>
      <c r="H55" s="1" t="s">
        <v>42</v>
      </c>
      <c r="I55" s="2">
        <v>45721</v>
      </c>
    </row>
    <row r="56" spans="1:9" x14ac:dyDescent="0.35">
      <c r="A56" s="1" t="s">
        <v>82</v>
      </c>
      <c r="B56" s="1" t="s">
        <v>27</v>
      </c>
      <c r="C56" s="1" t="s">
        <v>11</v>
      </c>
      <c r="D56" s="1" t="s">
        <v>12</v>
      </c>
      <c r="E56">
        <v>1505</v>
      </c>
      <c r="F56">
        <v>157</v>
      </c>
      <c r="G56" s="1" t="s">
        <v>13</v>
      </c>
      <c r="H56" s="1" t="s">
        <v>42</v>
      </c>
      <c r="I56" s="2">
        <v>45709</v>
      </c>
    </row>
    <row r="57" spans="1:9" x14ac:dyDescent="0.35">
      <c r="A57" s="1" t="s">
        <v>83</v>
      </c>
      <c r="B57" s="1" t="s">
        <v>16</v>
      </c>
      <c r="C57" s="1" t="s">
        <v>32</v>
      </c>
      <c r="D57" s="1" t="s">
        <v>12</v>
      </c>
      <c r="E57">
        <v>319</v>
      </c>
      <c r="F57">
        <v>300</v>
      </c>
      <c r="G57" s="1" t="s">
        <v>13</v>
      </c>
      <c r="H57" s="1" t="s">
        <v>42</v>
      </c>
      <c r="I57" s="2">
        <v>45684</v>
      </c>
    </row>
    <row r="58" spans="1:9" x14ac:dyDescent="0.35">
      <c r="A58" s="1" t="s">
        <v>84</v>
      </c>
      <c r="B58" s="1" t="s">
        <v>27</v>
      </c>
      <c r="C58" s="1" t="s">
        <v>25</v>
      </c>
      <c r="D58" s="1" t="s">
        <v>21</v>
      </c>
      <c r="E58">
        <v>670</v>
      </c>
      <c r="F58">
        <v>383</v>
      </c>
      <c r="G58" s="1" t="s">
        <v>13</v>
      </c>
      <c r="H58" s="1" t="s">
        <v>42</v>
      </c>
      <c r="I58" s="2">
        <v>45743</v>
      </c>
    </row>
    <row r="59" spans="1:9" x14ac:dyDescent="0.35">
      <c r="A59" s="1" t="s">
        <v>85</v>
      </c>
      <c r="B59" s="1" t="s">
        <v>10</v>
      </c>
      <c r="C59" s="1" t="s">
        <v>17</v>
      </c>
      <c r="D59" s="1" t="s">
        <v>12</v>
      </c>
      <c r="E59">
        <v>1636</v>
      </c>
      <c r="F59">
        <v>179</v>
      </c>
      <c r="G59" s="1" t="s">
        <v>13</v>
      </c>
      <c r="H59" s="1" t="s">
        <v>33</v>
      </c>
      <c r="I59" s="2">
        <v>45769</v>
      </c>
    </row>
    <row r="60" spans="1:9" x14ac:dyDescent="0.35">
      <c r="A60" s="1" t="s">
        <v>86</v>
      </c>
      <c r="B60" s="1" t="s">
        <v>10</v>
      </c>
      <c r="C60" s="1" t="s">
        <v>17</v>
      </c>
      <c r="D60" s="1" t="s">
        <v>12</v>
      </c>
      <c r="E60">
        <v>189</v>
      </c>
      <c r="F60">
        <v>342</v>
      </c>
      <c r="G60" s="1" t="s">
        <v>13</v>
      </c>
      <c r="H60" s="1" t="s">
        <v>18</v>
      </c>
      <c r="I60" s="2">
        <v>45759</v>
      </c>
    </row>
    <row r="61" spans="1:9" x14ac:dyDescent="0.35">
      <c r="A61" s="1" t="s">
        <v>87</v>
      </c>
      <c r="B61" s="1" t="s">
        <v>10</v>
      </c>
      <c r="C61" s="1" t="s">
        <v>11</v>
      </c>
      <c r="D61" s="1" t="s">
        <v>12</v>
      </c>
      <c r="E61">
        <v>1710</v>
      </c>
      <c r="F61">
        <v>69</v>
      </c>
      <c r="G61" s="1" t="s">
        <v>13</v>
      </c>
      <c r="H61" s="1" t="s">
        <v>14</v>
      </c>
      <c r="I61" s="2">
        <v>45662</v>
      </c>
    </row>
    <row r="62" spans="1:9" x14ac:dyDescent="0.35">
      <c r="A62" s="1" t="s">
        <v>88</v>
      </c>
      <c r="B62" s="1" t="s">
        <v>10</v>
      </c>
      <c r="C62" s="1" t="s">
        <v>25</v>
      </c>
      <c r="D62" s="1" t="s">
        <v>12</v>
      </c>
      <c r="E62">
        <v>1434</v>
      </c>
      <c r="F62">
        <v>331</v>
      </c>
      <c r="G62" s="1" t="s">
        <v>13</v>
      </c>
      <c r="H62" s="1" t="s">
        <v>42</v>
      </c>
      <c r="I62" s="2">
        <v>45767</v>
      </c>
    </row>
    <row r="63" spans="1:9" x14ac:dyDescent="0.35">
      <c r="A63" s="1" t="s">
        <v>89</v>
      </c>
      <c r="B63" s="1" t="s">
        <v>16</v>
      </c>
      <c r="C63" s="1" t="s">
        <v>17</v>
      </c>
      <c r="D63" s="1" t="s">
        <v>21</v>
      </c>
      <c r="E63">
        <v>1568</v>
      </c>
      <c r="F63">
        <v>334</v>
      </c>
      <c r="G63" s="1" t="s">
        <v>13</v>
      </c>
      <c r="H63" s="1" t="s">
        <v>33</v>
      </c>
      <c r="I63" s="2">
        <v>45738</v>
      </c>
    </row>
    <row r="64" spans="1:9" x14ac:dyDescent="0.35">
      <c r="A64" s="1" t="s">
        <v>90</v>
      </c>
      <c r="B64" s="1" t="s">
        <v>20</v>
      </c>
      <c r="C64" s="1" t="s">
        <v>25</v>
      </c>
      <c r="D64" s="1" t="s">
        <v>12</v>
      </c>
      <c r="E64">
        <v>1104</v>
      </c>
      <c r="F64">
        <v>50</v>
      </c>
      <c r="G64" s="1" t="s">
        <v>13</v>
      </c>
      <c r="H64" s="1" t="s">
        <v>33</v>
      </c>
      <c r="I64" s="2">
        <v>45762</v>
      </c>
    </row>
    <row r="65" spans="1:9" x14ac:dyDescent="0.35">
      <c r="A65" s="1" t="s">
        <v>91</v>
      </c>
      <c r="B65" s="1" t="s">
        <v>37</v>
      </c>
      <c r="C65" s="1" t="s">
        <v>25</v>
      </c>
      <c r="D65" s="1" t="s">
        <v>12</v>
      </c>
      <c r="E65">
        <v>1399</v>
      </c>
      <c r="F65">
        <v>168</v>
      </c>
      <c r="G65" s="1" t="s">
        <v>13</v>
      </c>
      <c r="H65" s="1" t="s">
        <v>33</v>
      </c>
      <c r="I65" s="2">
        <v>45776</v>
      </c>
    </row>
    <row r="66" spans="1:9" x14ac:dyDescent="0.35">
      <c r="A66" s="1" t="s">
        <v>92</v>
      </c>
      <c r="B66" s="1" t="s">
        <v>48</v>
      </c>
      <c r="C66" s="1" t="s">
        <v>11</v>
      </c>
      <c r="D66" s="1" t="s">
        <v>12</v>
      </c>
      <c r="E66">
        <v>1133</v>
      </c>
      <c r="F66">
        <v>84</v>
      </c>
      <c r="G66" s="1" t="s">
        <v>13</v>
      </c>
      <c r="H66" s="1" t="s">
        <v>18</v>
      </c>
      <c r="I66" s="2">
        <v>45671</v>
      </c>
    </row>
    <row r="67" spans="1:9" x14ac:dyDescent="0.35">
      <c r="A67" s="1" t="s">
        <v>93</v>
      </c>
      <c r="B67" s="1" t="s">
        <v>10</v>
      </c>
      <c r="C67" s="1" t="s">
        <v>17</v>
      </c>
      <c r="D67" s="1" t="s">
        <v>12</v>
      </c>
      <c r="E67">
        <v>1297</v>
      </c>
      <c r="F67">
        <v>247</v>
      </c>
      <c r="G67" s="1" t="s">
        <v>13</v>
      </c>
      <c r="H67" s="1" t="s">
        <v>14</v>
      </c>
      <c r="I67" s="2">
        <v>45769</v>
      </c>
    </row>
    <row r="68" spans="1:9" x14ac:dyDescent="0.35">
      <c r="A68" s="1" t="s">
        <v>94</v>
      </c>
      <c r="B68" s="1" t="s">
        <v>27</v>
      </c>
      <c r="C68" s="1" t="s">
        <v>32</v>
      </c>
      <c r="D68" s="1" t="s">
        <v>12</v>
      </c>
      <c r="E68">
        <v>1124</v>
      </c>
      <c r="F68">
        <v>294</v>
      </c>
      <c r="G68" s="1" t="s">
        <v>13</v>
      </c>
      <c r="H68" s="1" t="s">
        <v>18</v>
      </c>
      <c r="I68" s="2">
        <v>45772</v>
      </c>
    </row>
    <row r="69" spans="1:9" x14ac:dyDescent="0.35">
      <c r="A69" s="1" t="s">
        <v>95</v>
      </c>
      <c r="B69" s="1" t="s">
        <v>10</v>
      </c>
      <c r="C69" s="1" t="s">
        <v>11</v>
      </c>
      <c r="D69" s="1" t="s">
        <v>12</v>
      </c>
      <c r="E69">
        <v>187</v>
      </c>
      <c r="F69">
        <v>108</v>
      </c>
      <c r="G69" s="1" t="s">
        <v>13</v>
      </c>
      <c r="H69" s="1" t="s">
        <v>23</v>
      </c>
      <c r="I69" s="2">
        <v>45671</v>
      </c>
    </row>
    <row r="70" spans="1:9" x14ac:dyDescent="0.35">
      <c r="A70" s="1" t="s">
        <v>96</v>
      </c>
      <c r="B70" s="1" t="s">
        <v>27</v>
      </c>
      <c r="C70" s="1" t="s">
        <v>17</v>
      </c>
      <c r="D70" s="1" t="s">
        <v>12</v>
      </c>
      <c r="E70">
        <v>477</v>
      </c>
      <c r="F70">
        <v>374</v>
      </c>
      <c r="G70" s="1" t="s">
        <v>13</v>
      </c>
      <c r="H70" s="1" t="s">
        <v>33</v>
      </c>
      <c r="I70" s="2">
        <v>45734</v>
      </c>
    </row>
    <row r="71" spans="1:9" x14ac:dyDescent="0.35">
      <c r="A71" s="1" t="s">
        <v>97</v>
      </c>
      <c r="B71" s="1" t="s">
        <v>37</v>
      </c>
      <c r="C71" s="1" t="s">
        <v>17</v>
      </c>
      <c r="D71" s="1" t="s">
        <v>51</v>
      </c>
      <c r="E71">
        <v>1424</v>
      </c>
      <c r="F71">
        <v>210</v>
      </c>
      <c r="G71" s="1" t="s">
        <v>13</v>
      </c>
      <c r="H71" s="1" t="s">
        <v>23</v>
      </c>
      <c r="I71" s="2">
        <v>45763</v>
      </c>
    </row>
    <row r="72" spans="1:9" x14ac:dyDescent="0.35">
      <c r="A72" s="1" t="s">
        <v>98</v>
      </c>
      <c r="B72" s="1" t="s">
        <v>37</v>
      </c>
      <c r="C72" s="1" t="s">
        <v>17</v>
      </c>
      <c r="D72" s="1" t="s">
        <v>12</v>
      </c>
      <c r="E72">
        <v>1349</v>
      </c>
      <c r="F72">
        <v>228</v>
      </c>
      <c r="G72" s="1" t="s">
        <v>13</v>
      </c>
      <c r="H72" s="1" t="s">
        <v>42</v>
      </c>
      <c r="I72" s="2">
        <v>45772</v>
      </c>
    </row>
    <row r="73" spans="1:9" x14ac:dyDescent="0.35">
      <c r="A73" s="1" t="s">
        <v>99</v>
      </c>
      <c r="B73" s="1" t="s">
        <v>37</v>
      </c>
      <c r="C73" s="1" t="s">
        <v>17</v>
      </c>
      <c r="D73" s="1" t="s">
        <v>12</v>
      </c>
      <c r="E73">
        <v>1775</v>
      </c>
      <c r="F73">
        <v>255</v>
      </c>
      <c r="G73" s="1" t="s">
        <v>13</v>
      </c>
      <c r="H73" s="1" t="s">
        <v>42</v>
      </c>
      <c r="I73" s="2">
        <v>45723</v>
      </c>
    </row>
    <row r="74" spans="1:9" x14ac:dyDescent="0.35">
      <c r="A74" s="1" t="s">
        <v>100</v>
      </c>
      <c r="B74" s="1" t="s">
        <v>27</v>
      </c>
      <c r="C74" s="1" t="s">
        <v>17</v>
      </c>
      <c r="D74" s="1" t="s">
        <v>12</v>
      </c>
      <c r="E74">
        <v>1063</v>
      </c>
      <c r="F74">
        <v>61</v>
      </c>
      <c r="G74" s="1" t="s">
        <v>13</v>
      </c>
      <c r="H74" s="1" t="s">
        <v>18</v>
      </c>
      <c r="I74" s="2">
        <v>45658</v>
      </c>
    </row>
    <row r="75" spans="1:9" x14ac:dyDescent="0.35">
      <c r="A75" s="1" t="s">
        <v>101</v>
      </c>
      <c r="B75" s="1" t="s">
        <v>10</v>
      </c>
      <c r="C75" s="1" t="s">
        <v>25</v>
      </c>
      <c r="D75" s="1" t="s">
        <v>12</v>
      </c>
      <c r="E75">
        <v>603</v>
      </c>
      <c r="F75">
        <v>325</v>
      </c>
      <c r="G75" s="1" t="s">
        <v>13</v>
      </c>
      <c r="H75" s="1" t="s">
        <v>14</v>
      </c>
      <c r="I75" s="2">
        <v>45716</v>
      </c>
    </row>
    <row r="76" spans="1:9" x14ac:dyDescent="0.35">
      <c r="A76" s="1" t="s">
        <v>102</v>
      </c>
      <c r="B76" s="1" t="s">
        <v>37</v>
      </c>
      <c r="C76" s="1" t="s">
        <v>11</v>
      </c>
      <c r="D76" s="1" t="s">
        <v>12</v>
      </c>
      <c r="E76">
        <v>186</v>
      </c>
      <c r="F76">
        <v>230</v>
      </c>
      <c r="G76" s="1" t="s">
        <v>13</v>
      </c>
      <c r="H76" s="1" t="s">
        <v>23</v>
      </c>
      <c r="I76" s="2">
        <v>45676</v>
      </c>
    </row>
    <row r="77" spans="1:9" x14ac:dyDescent="0.35">
      <c r="A77" s="1" t="s">
        <v>103</v>
      </c>
      <c r="B77" s="1" t="s">
        <v>16</v>
      </c>
      <c r="C77" s="1" t="s">
        <v>25</v>
      </c>
      <c r="D77" s="1" t="s">
        <v>12</v>
      </c>
      <c r="E77">
        <v>1489</v>
      </c>
      <c r="F77">
        <v>291</v>
      </c>
      <c r="G77" s="1" t="s">
        <v>13</v>
      </c>
      <c r="H77" s="1" t="s">
        <v>14</v>
      </c>
      <c r="I77" s="2">
        <v>45682</v>
      </c>
    </row>
    <row r="78" spans="1:9" x14ac:dyDescent="0.35">
      <c r="A78" s="1" t="s">
        <v>104</v>
      </c>
      <c r="B78" s="1" t="s">
        <v>27</v>
      </c>
      <c r="C78" s="1" t="s">
        <v>32</v>
      </c>
      <c r="D78" s="1" t="s">
        <v>12</v>
      </c>
      <c r="E78">
        <v>1861</v>
      </c>
      <c r="F78">
        <v>265</v>
      </c>
      <c r="G78" s="1" t="s">
        <v>13</v>
      </c>
      <c r="H78" s="1" t="s">
        <v>18</v>
      </c>
      <c r="I78" s="2">
        <v>45691</v>
      </c>
    </row>
    <row r="79" spans="1:9" x14ac:dyDescent="0.35">
      <c r="A79" s="1" t="s">
        <v>105</v>
      </c>
      <c r="B79" s="1" t="s">
        <v>27</v>
      </c>
      <c r="C79" s="1" t="s">
        <v>17</v>
      </c>
      <c r="D79" s="1" t="s">
        <v>12</v>
      </c>
      <c r="E79">
        <v>1122</v>
      </c>
      <c r="F79">
        <v>300</v>
      </c>
      <c r="G79" s="1" t="s">
        <v>13</v>
      </c>
      <c r="H79" s="1" t="s">
        <v>42</v>
      </c>
      <c r="I79" s="2">
        <v>45710</v>
      </c>
    </row>
    <row r="80" spans="1:9" x14ac:dyDescent="0.35">
      <c r="A80" s="1" t="s">
        <v>106</v>
      </c>
      <c r="B80" s="1" t="s">
        <v>10</v>
      </c>
      <c r="C80" s="1" t="s">
        <v>11</v>
      </c>
      <c r="D80" s="1" t="s">
        <v>12</v>
      </c>
      <c r="E80">
        <v>945</v>
      </c>
      <c r="F80">
        <v>348</v>
      </c>
      <c r="G80" s="1" t="s">
        <v>13</v>
      </c>
      <c r="H80" s="1" t="s">
        <v>14</v>
      </c>
      <c r="I80" s="2">
        <v>45708</v>
      </c>
    </row>
    <row r="81" spans="1:9" x14ac:dyDescent="0.35">
      <c r="A81" s="1" t="s">
        <v>107</v>
      </c>
      <c r="B81" s="1" t="s">
        <v>27</v>
      </c>
      <c r="C81" s="1" t="s">
        <v>17</v>
      </c>
      <c r="D81" s="1" t="s">
        <v>21</v>
      </c>
      <c r="E81">
        <v>1122</v>
      </c>
      <c r="F81">
        <v>175</v>
      </c>
      <c r="G81" s="1" t="s">
        <v>13</v>
      </c>
      <c r="H81" s="1" t="s">
        <v>14</v>
      </c>
      <c r="I81" s="2">
        <v>45713</v>
      </c>
    </row>
    <row r="82" spans="1:9" x14ac:dyDescent="0.35">
      <c r="A82" s="1" t="s">
        <v>108</v>
      </c>
      <c r="B82" s="1" t="s">
        <v>27</v>
      </c>
      <c r="C82" s="1" t="s">
        <v>11</v>
      </c>
      <c r="D82" s="1" t="s">
        <v>12</v>
      </c>
      <c r="E82">
        <v>742</v>
      </c>
      <c r="F82">
        <v>266</v>
      </c>
      <c r="G82" s="1" t="s">
        <v>13</v>
      </c>
      <c r="H82" s="1" t="s">
        <v>42</v>
      </c>
      <c r="I82" s="2">
        <v>45777</v>
      </c>
    </row>
    <row r="83" spans="1:9" x14ac:dyDescent="0.35">
      <c r="A83" s="1" t="s">
        <v>109</v>
      </c>
      <c r="B83" s="1" t="s">
        <v>37</v>
      </c>
      <c r="C83" s="1" t="s">
        <v>25</v>
      </c>
      <c r="D83" s="1" t="s">
        <v>12</v>
      </c>
      <c r="E83">
        <v>1287</v>
      </c>
      <c r="F83">
        <v>355</v>
      </c>
      <c r="G83" s="1" t="s">
        <v>13</v>
      </c>
      <c r="H83" s="1" t="s">
        <v>23</v>
      </c>
      <c r="I83" s="2">
        <v>45760</v>
      </c>
    </row>
    <row r="84" spans="1:9" x14ac:dyDescent="0.35">
      <c r="A84" s="1" t="s">
        <v>110</v>
      </c>
      <c r="B84" s="1" t="s">
        <v>10</v>
      </c>
      <c r="C84" s="1" t="s">
        <v>11</v>
      </c>
      <c r="D84" s="1" t="s">
        <v>12</v>
      </c>
      <c r="E84">
        <v>1213</v>
      </c>
      <c r="F84">
        <v>334</v>
      </c>
      <c r="G84" s="1" t="s">
        <v>13</v>
      </c>
      <c r="H84" s="1" t="s">
        <v>42</v>
      </c>
      <c r="I84" s="2">
        <v>45664</v>
      </c>
    </row>
    <row r="85" spans="1:9" x14ac:dyDescent="0.35">
      <c r="A85" s="1" t="s">
        <v>111</v>
      </c>
      <c r="B85" s="1" t="s">
        <v>37</v>
      </c>
      <c r="C85" s="1" t="s">
        <v>32</v>
      </c>
      <c r="D85" s="1" t="s">
        <v>51</v>
      </c>
      <c r="E85">
        <v>1474</v>
      </c>
      <c r="F85">
        <v>234</v>
      </c>
      <c r="G85" s="1" t="s">
        <v>13</v>
      </c>
      <c r="H85" s="1" t="s">
        <v>14</v>
      </c>
      <c r="I85" s="2">
        <v>45708</v>
      </c>
    </row>
    <row r="86" spans="1:9" x14ac:dyDescent="0.35">
      <c r="A86" s="1" t="s">
        <v>112</v>
      </c>
      <c r="B86" s="1" t="s">
        <v>37</v>
      </c>
      <c r="C86" s="1" t="s">
        <v>32</v>
      </c>
      <c r="D86" s="1" t="s">
        <v>12</v>
      </c>
      <c r="E86">
        <v>373</v>
      </c>
      <c r="F86">
        <v>88</v>
      </c>
      <c r="G86" s="1" t="s">
        <v>13</v>
      </c>
      <c r="H86" s="1" t="s">
        <v>23</v>
      </c>
      <c r="I86" s="2">
        <v>45756</v>
      </c>
    </row>
    <row r="87" spans="1:9" x14ac:dyDescent="0.35">
      <c r="A87" s="1" t="s">
        <v>113</v>
      </c>
      <c r="B87" s="1" t="s">
        <v>10</v>
      </c>
      <c r="C87" s="1" t="s">
        <v>11</v>
      </c>
      <c r="D87" s="1" t="s">
        <v>12</v>
      </c>
      <c r="E87">
        <v>467</v>
      </c>
      <c r="F87">
        <v>272</v>
      </c>
      <c r="G87" s="1" t="s">
        <v>13</v>
      </c>
      <c r="H87" s="1" t="s">
        <v>23</v>
      </c>
      <c r="I87" s="2">
        <v>45778</v>
      </c>
    </row>
    <row r="88" spans="1:9" x14ac:dyDescent="0.35">
      <c r="A88" s="1" t="s">
        <v>114</v>
      </c>
      <c r="B88" s="1" t="s">
        <v>48</v>
      </c>
      <c r="C88" s="1" t="s">
        <v>11</v>
      </c>
      <c r="D88" s="1" t="s">
        <v>51</v>
      </c>
      <c r="E88">
        <v>498</v>
      </c>
      <c r="F88">
        <v>233</v>
      </c>
      <c r="G88" s="1" t="s">
        <v>13</v>
      </c>
      <c r="H88" s="1" t="s">
        <v>42</v>
      </c>
      <c r="I88" s="2">
        <v>45768</v>
      </c>
    </row>
    <row r="89" spans="1:9" x14ac:dyDescent="0.35">
      <c r="A89" s="1" t="s">
        <v>115</v>
      </c>
      <c r="B89" s="1" t="s">
        <v>37</v>
      </c>
      <c r="C89" s="1" t="s">
        <v>11</v>
      </c>
      <c r="D89" s="1" t="s">
        <v>21</v>
      </c>
      <c r="E89">
        <v>264</v>
      </c>
      <c r="F89">
        <v>227</v>
      </c>
      <c r="G89" s="1" t="s">
        <v>13</v>
      </c>
      <c r="H89" s="1" t="s">
        <v>14</v>
      </c>
      <c r="I89" s="2">
        <v>45730</v>
      </c>
    </row>
    <row r="90" spans="1:9" x14ac:dyDescent="0.35">
      <c r="A90" s="1" t="s">
        <v>116</v>
      </c>
      <c r="B90" s="1" t="s">
        <v>16</v>
      </c>
      <c r="C90" s="1" t="s">
        <v>11</v>
      </c>
      <c r="D90" s="1" t="s">
        <v>21</v>
      </c>
      <c r="E90">
        <v>847</v>
      </c>
      <c r="F90">
        <v>343</v>
      </c>
      <c r="G90" s="1" t="s">
        <v>13</v>
      </c>
      <c r="H90" s="1" t="s">
        <v>18</v>
      </c>
      <c r="I90" s="2">
        <v>45683</v>
      </c>
    </row>
    <row r="91" spans="1:9" x14ac:dyDescent="0.35">
      <c r="A91" s="1" t="s">
        <v>117</v>
      </c>
      <c r="B91" s="1" t="s">
        <v>16</v>
      </c>
      <c r="C91" s="1" t="s">
        <v>32</v>
      </c>
      <c r="D91" s="1" t="s">
        <v>12</v>
      </c>
      <c r="E91">
        <v>1496</v>
      </c>
      <c r="F91">
        <v>389</v>
      </c>
      <c r="G91" s="1" t="s">
        <v>13</v>
      </c>
      <c r="H91" s="1" t="s">
        <v>14</v>
      </c>
      <c r="I91" s="2">
        <v>45743</v>
      </c>
    </row>
    <row r="92" spans="1:9" x14ac:dyDescent="0.35">
      <c r="A92" s="1" t="s">
        <v>118</v>
      </c>
      <c r="B92" s="1" t="s">
        <v>27</v>
      </c>
      <c r="C92" s="1" t="s">
        <v>17</v>
      </c>
      <c r="D92" s="1" t="s">
        <v>12</v>
      </c>
      <c r="E92">
        <v>1741</v>
      </c>
      <c r="F92">
        <v>200</v>
      </c>
      <c r="G92" s="1" t="s">
        <v>13</v>
      </c>
      <c r="H92" s="1" t="s">
        <v>33</v>
      </c>
      <c r="I92" s="2">
        <v>45702</v>
      </c>
    </row>
    <row r="93" spans="1:9" x14ac:dyDescent="0.35">
      <c r="A93" s="1" t="s">
        <v>119</v>
      </c>
      <c r="B93" s="1" t="s">
        <v>16</v>
      </c>
      <c r="C93" s="1" t="s">
        <v>11</v>
      </c>
      <c r="D93" s="1" t="s">
        <v>12</v>
      </c>
      <c r="E93">
        <v>1213</v>
      </c>
      <c r="F93">
        <v>175</v>
      </c>
      <c r="G93" s="1" t="s">
        <v>13</v>
      </c>
      <c r="H93" s="1" t="s">
        <v>18</v>
      </c>
      <c r="I93" s="2">
        <v>45690</v>
      </c>
    </row>
    <row r="94" spans="1:9" x14ac:dyDescent="0.35">
      <c r="A94" s="1" t="s">
        <v>120</v>
      </c>
      <c r="B94" s="1" t="s">
        <v>27</v>
      </c>
      <c r="C94" s="1" t="s">
        <v>11</v>
      </c>
      <c r="D94" s="1" t="s">
        <v>51</v>
      </c>
      <c r="E94">
        <v>189</v>
      </c>
      <c r="F94">
        <v>350</v>
      </c>
      <c r="G94" s="1" t="s">
        <v>13</v>
      </c>
      <c r="H94" s="1" t="s">
        <v>23</v>
      </c>
      <c r="I94" s="2">
        <v>45767</v>
      </c>
    </row>
    <row r="95" spans="1:9" x14ac:dyDescent="0.35">
      <c r="A95" s="1" t="s">
        <v>121</v>
      </c>
      <c r="B95" s="1" t="s">
        <v>48</v>
      </c>
      <c r="C95" s="1" t="s">
        <v>32</v>
      </c>
      <c r="D95" s="1" t="s">
        <v>12</v>
      </c>
      <c r="E95">
        <v>1922</v>
      </c>
      <c r="F95">
        <v>357</v>
      </c>
      <c r="G95" s="1" t="s">
        <v>13</v>
      </c>
      <c r="H95" s="1" t="s">
        <v>18</v>
      </c>
      <c r="I95" s="2">
        <v>45711</v>
      </c>
    </row>
    <row r="96" spans="1:9" x14ac:dyDescent="0.35">
      <c r="A96" s="1" t="s">
        <v>122</v>
      </c>
      <c r="B96" s="1" t="s">
        <v>10</v>
      </c>
      <c r="C96" s="1" t="s">
        <v>32</v>
      </c>
      <c r="D96" s="1" t="s">
        <v>12</v>
      </c>
      <c r="E96">
        <v>1462</v>
      </c>
      <c r="F96">
        <v>385</v>
      </c>
      <c r="G96" s="1" t="s">
        <v>13</v>
      </c>
      <c r="H96" s="1" t="s">
        <v>23</v>
      </c>
      <c r="I96" s="2">
        <v>45752</v>
      </c>
    </row>
    <row r="97" spans="1:9" x14ac:dyDescent="0.35">
      <c r="A97" s="1" t="s">
        <v>123</v>
      </c>
      <c r="B97" s="1" t="s">
        <v>10</v>
      </c>
      <c r="C97" s="1" t="s">
        <v>25</v>
      </c>
      <c r="D97" s="1" t="s">
        <v>12</v>
      </c>
      <c r="E97">
        <v>1435</v>
      </c>
      <c r="F97">
        <v>283</v>
      </c>
      <c r="G97" s="1" t="s">
        <v>13</v>
      </c>
      <c r="H97" s="1" t="s">
        <v>23</v>
      </c>
      <c r="I97" s="2">
        <v>45704</v>
      </c>
    </row>
    <row r="98" spans="1:9" x14ac:dyDescent="0.35">
      <c r="A98" s="1" t="s">
        <v>124</v>
      </c>
      <c r="B98" s="1" t="s">
        <v>10</v>
      </c>
      <c r="C98" s="1" t="s">
        <v>11</v>
      </c>
      <c r="D98" s="1" t="s">
        <v>21</v>
      </c>
      <c r="E98">
        <v>365</v>
      </c>
      <c r="F98">
        <v>57</v>
      </c>
      <c r="G98" s="1" t="s">
        <v>13</v>
      </c>
      <c r="H98" s="1" t="s">
        <v>18</v>
      </c>
      <c r="I98" s="2">
        <v>45709</v>
      </c>
    </row>
    <row r="99" spans="1:9" x14ac:dyDescent="0.35">
      <c r="A99" s="1" t="s">
        <v>125</v>
      </c>
      <c r="B99" s="1" t="s">
        <v>16</v>
      </c>
      <c r="C99" s="1" t="s">
        <v>25</v>
      </c>
      <c r="D99" s="1" t="s">
        <v>12</v>
      </c>
      <c r="E99">
        <v>1320</v>
      </c>
      <c r="F99">
        <v>390</v>
      </c>
      <c r="G99" s="1" t="s">
        <v>13</v>
      </c>
      <c r="H99" s="1" t="s">
        <v>23</v>
      </c>
      <c r="I99" s="2">
        <v>45739</v>
      </c>
    </row>
    <row r="100" spans="1:9" x14ac:dyDescent="0.35">
      <c r="A100" s="1" t="s">
        <v>126</v>
      </c>
      <c r="B100" s="1" t="s">
        <v>48</v>
      </c>
      <c r="C100" s="1" t="s">
        <v>32</v>
      </c>
      <c r="D100" s="1" t="s">
        <v>12</v>
      </c>
      <c r="E100">
        <v>485</v>
      </c>
      <c r="F100">
        <v>178</v>
      </c>
      <c r="G100" s="1" t="s">
        <v>13</v>
      </c>
      <c r="H100" s="1" t="s">
        <v>23</v>
      </c>
      <c r="I100" s="2">
        <v>45767</v>
      </c>
    </row>
    <row r="101" spans="1:9" x14ac:dyDescent="0.35">
      <c r="A101" s="1" t="s">
        <v>127</v>
      </c>
      <c r="B101" s="1" t="s">
        <v>16</v>
      </c>
      <c r="C101" s="1" t="s">
        <v>32</v>
      </c>
      <c r="D101" s="1" t="s">
        <v>12</v>
      </c>
      <c r="E101">
        <v>1341</v>
      </c>
      <c r="F101">
        <v>313</v>
      </c>
      <c r="G101" s="1" t="s">
        <v>13</v>
      </c>
      <c r="H101" s="1" t="s">
        <v>33</v>
      </c>
      <c r="I101" s="2">
        <v>45764</v>
      </c>
    </row>
    <row r="102" spans="1:9" x14ac:dyDescent="0.35">
      <c r="A102" s="1" t="s">
        <v>128</v>
      </c>
      <c r="B102" s="1" t="s">
        <v>16</v>
      </c>
      <c r="C102" s="1" t="s">
        <v>17</v>
      </c>
      <c r="D102" s="1" t="s">
        <v>12</v>
      </c>
      <c r="E102">
        <v>241</v>
      </c>
      <c r="F102">
        <v>206</v>
      </c>
      <c r="G102" s="1" t="s">
        <v>13</v>
      </c>
      <c r="H102" s="1" t="s">
        <v>14</v>
      </c>
      <c r="I102" s="2">
        <v>45701</v>
      </c>
    </row>
    <row r="103" spans="1:9" x14ac:dyDescent="0.35">
      <c r="A103" s="1" t="s">
        <v>129</v>
      </c>
      <c r="B103" s="1" t="s">
        <v>48</v>
      </c>
      <c r="C103" s="1" t="s">
        <v>11</v>
      </c>
      <c r="D103" s="1" t="s">
        <v>12</v>
      </c>
      <c r="E103">
        <v>502</v>
      </c>
      <c r="F103">
        <v>54</v>
      </c>
      <c r="G103" s="1" t="s">
        <v>13</v>
      </c>
      <c r="H103" s="1" t="s">
        <v>14</v>
      </c>
      <c r="I103" s="2">
        <v>45764</v>
      </c>
    </row>
    <row r="104" spans="1:9" x14ac:dyDescent="0.35">
      <c r="A104" s="1" t="s">
        <v>130</v>
      </c>
      <c r="B104" s="1" t="s">
        <v>48</v>
      </c>
      <c r="C104" s="1" t="s">
        <v>25</v>
      </c>
      <c r="D104" s="1" t="s">
        <v>12</v>
      </c>
      <c r="E104">
        <v>720</v>
      </c>
      <c r="F104">
        <v>135</v>
      </c>
      <c r="G104" s="1" t="s">
        <v>13</v>
      </c>
      <c r="H104" s="1" t="s">
        <v>33</v>
      </c>
      <c r="I104" s="2">
        <v>45748</v>
      </c>
    </row>
    <row r="105" spans="1:9" x14ac:dyDescent="0.35">
      <c r="A105" s="1" t="s">
        <v>131</v>
      </c>
      <c r="B105" s="1" t="s">
        <v>48</v>
      </c>
      <c r="C105" s="1" t="s">
        <v>32</v>
      </c>
      <c r="D105" s="1" t="s">
        <v>12</v>
      </c>
      <c r="E105">
        <v>1744</v>
      </c>
      <c r="F105">
        <v>224</v>
      </c>
      <c r="G105" s="1" t="s">
        <v>13</v>
      </c>
      <c r="H105" s="1" t="s">
        <v>18</v>
      </c>
      <c r="I105" s="2">
        <v>45674</v>
      </c>
    </row>
    <row r="106" spans="1:9" x14ac:dyDescent="0.35">
      <c r="A106" s="1" t="s">
        <v>132</v>
      </c>
      <c r="B106" s="1" t="s">
        <v>48</v>
      </c>
      <c r="C106" s="1" t="s">
        <v>32</v>
      </c>
      <c r="D106" s="1" t="s">
        <v>12</v>
      </c>
      <c r="E106">
        <v>965</v>
      </c>
      <c r="F106">
        <v>339</v>
      </c>
      <c r="G106" s="1" t="s">
        <v>13</v>
      </c>
      <c r="H106" s="1" t="s">
        <v>42</v>
      </c>
      <c r="I106" s="2">
        <v>45694</v>
      </c>
    </row>
    <row r="107" spans="1:9" x14ac:dyDescent="0.35">
      <c r="A107" s="1" t="s">
        <v>133</v>
      </c>
      <c r="B107" s="1" t="s">
        <v>10</v>
      </c>
      <c r="C107" s="1" t="s">
        <v>25</v>
      </c>
      <c r="D107" s="1" t="s">
        <v>12</v>
      </c>
      <c r="E107">
        <v>1854</v>
      </c>
      <c r="F107">
        <v>242</v>
      </c>
      <c r="G107" s="1" t="s">
        <v>13</v>
      </c>
      <c r="H107" s="1" t="s">
        <v>42</v>
      </c>
      <c r="I107" s="2">
        <v>45714</v>
      </c>
    </row>
    <row r="108" spans="1:9" x14ac:dyDescent="0.35">
      <c r="A108" s="1" t="s">
        <v>134</v>
      </c>
      <c r="B108" s="1" t="s">
        <v>20</v>
      </c>
      <c r="C108" s="1" t="s">
        <v>17</v>
      </c>
      <c r="D108" s="1" t="s">
        <v>12</v>
      </c>
      <c r="E108">
        <v>930</v>
      </c>
      <c r="F108">
        <v>360</v>
      </c>
      <c r="G108" s="1" t="s">
        <v>13</v>
      </c>
      <c r="H108" s="1" t="s">
        <v>42</v>
      </c>
      <c r="I108" s="2">
        <v>45686</v>
      </c>
    </row>
    <row r="109" spans="1:9" x14ac:dyDescent="0.35">
      <c r="A109" s="1" t="s">
        <v>135</v>
      </c>
      <c r="B109" s="1" t="s">
        <v>20</v>
      </c>
      <c r="C109" s="1" t="s">
        <v>32</v>
      </c>
      <c r="D109" s="1" t="s">
        <v>12</v>
      </c>
      <c r="E109">
        <v>512</v>
      </c>
      <c r="F109">
        <v>168</v>
      </c>
      <c r="G109" s="1" t="s">
        <v>13</v>
      </c>
      <c r="H109" s="1" t="s">
        <v>33</v>
      </c>
      <c r="I109" s="2">
        <v>45748</v>
      </c>
    </row>
    <row r="110" spans="1:9" x14ac:dyDescent="0.35">
      <c r="A110" s="1" t="s">
        <v>136</v>
      </c>
      <c r="B110" s="1" t="s">
        <v>48</v>
      </c>
      <c r="C110" s="1" t="s">
        <v>11</v>
      </c>
      <c r="D110" s="1" t="s">
        <v>12</v>
      </c>
      <c r="E110">
        <v>706</v>
      </c>
      <c r="F110">
        <v>267</v>
      </c>
      <c r="G110" s="1" t="s">
        <v>13</v>
      </c>
      <c r="H110" s="1" t="s">
        <v>33</v>
      </c>
      <c r="I110" s="2">
        <v>45666</v>
      </c>
    </row>
    <row r="111" spans="1:9" x14ac:dyDescent="0.35">
      <c r="A111" s="1" t="s">
        <v>137</v>
      </c>
      <c r="B111" s="1" t="s">
        <v>20</v>
      </c>
      <c r="C111" s="1" t="s">
        <v>32</v>
      </c>
      <c r="D111" s="1" t="s">
        <v>12</v>
      </c>
      <c r="E111">
        <v>1518</v>
      </c>
      <c r="F111">
        <v>163</v>
      </c>
      <c r="G111" s="1" t="s">
        <v>13</v>
      </c>
      <c r="H111" s="1" t="s">
        <v>23</v>
      </c>
      <c r="I111" s="2">
        <v>45768</v>
      </c>
    </row>
    <row r="112" spans="1:9" x14ac:dyDescent="0.35">
      <c r="A112" s="1" t="s">
        <v>138</v>
      </c>
      <c r="B112" s="1" t="s">
        <v>20</v>
      </c>
      <c r="C112" s="1" t="s">
        <v>11</v>
      </c>
      <c r="D112" s="1" t="s">
        <v>12</v>
      </c>
      <c r="E112">
        <v>1866</v>
      </c>
      <c r="F112">
        <v>194</v>
      </c>
      <c r="G112" s="1" t="s">
        <v>13</v>
      </c>
      <c r="H112" s="1" t="s">
        <v>42</v>
      </c>
      <c r="I112" s="2">
        <v>45715</v>
      </c>
    </row>
    <row r="113" spans="1:9" x14ac:dyDescent="0.35">
      <c r="A113" s="1" t="s">
        <v>139</v>
      </c>
      <c r="B113" s="1" t="s">
        <v>48</v>
      </c>
      <c r="C113" s="1" t="s">
        <v>25</v>
      </c>
      <c r="D113" s="1" t="s">
        <v>12</v>
      </c>
      <c r="E113">
        <v>1343</v>
      </c>
      <c r="F113">
        <v>75</v>
      </c>
      <c r="G113" s="1" t="s">
        <v>13</v>
      </c>
      <c r="H113" s="1" t="s">
        <v>18</v>
      </c>
      <c r="I113" s="2">
        <v>45710</v>
      </c>
    </row>
    <row r="114" spans="1:9" x14ac:dyDescent="0.35">
      <c r="A114" s="1" t="s">
        <v>140</v>
      </c>
      <c r="B114" s="1" t="s">
        <v>20</v>
      </c>
      <c r="C114" s="1" t="s">
        <v>11</v>
      </c>
      <c r="D114" s="1" t="s">
        <v>12</v>
      </c>
      <c r="E114">
        <v>505</v>
      </c>
      <c r="F114">
        <v>185</v>
      </c>
      <c r="G114" s="1" t="s">
        <v>13</v>
      </c>
      <c r="H114" s="1" t="s">
        <v>18</v>
      </c>
      <c r="I114" s="2">
        <v>45759</v>
      </c>
    </row>
    <row r="115" spans="1:9" x14ac:dyDescent="0.35">
      <c r="A115" s="1" t="s">
        <v>141</v>
      </c>
      <c r="B115" s="1" t="s">
        <v>16</v>
      </c>
      <c r="C115" s="1" t="s">
        <v>25</v>
      </c>
      <c r="D115" s="1" t="s">
        <v>51</v>
      </c>
      <c r="E115">
        <v>340</v>
      </c>
      <c r="F115">
        <v>352</v>
      </c>
      <c r="G115" s="1" t="s">
        <v>13</v>
      </c>
      <c r="H115" s="1" t="s">
        <v>42</v>
      </c>
      <c r="I115" s="2">
        <v>45685</v>
      </c>
    </row>
    <row r="116" spans="1:9" x14ac:dyDescent="0.35">
      <c r="A116" s="1" t="s">
        <v>142</v>
      </c>
      <c r="B116" s="1" t="s">
        <v>27</v>
      </c>
      <c r="C116" s="1" t="s">
        <v>11</v>
      </c>
      <c r="D116" s="1" t="s">
        <v>12</v>
      </c>
      <c r="E116">
        <v>1840</v>
      </c>
      <c r="F116">
        <v>281</v>
      </c>
      <c r="G116" s="1" t="s">
        <v>13</v>
      </c>
      <c r="H116" s="1" t="s">
        <v>42</v>
      </c>
      <c r="I116" s="2">
        <v>45681</v>
      </c>
    </row>
    <row r="117" spans="1:9" x14ac:dyDescent="0.35">
      <c r="A117" s="1" t="s">
        <v>143</v>
      </c>
      <c r="B117" s="1" t="s">
        <v>27</v>
      </c>
      <c r="C117" s="1" t="s">
        <v>25</v>
      </c>
      <c r="D117" s="1" t="s">
        <v>21</v>
      </c>
      <c r="E117">
        <v>571</v>
      </c>
      <c r="F117">
        <v>125</v>
      </c>
      <c r="G117" s="1" t="s">
        <v>13</v>
      </c>
      <c r="H117" s="1" t="s">
        <v>42</v>
      </c>
      <c r="I117" s="2">
        <v>45668</v>
      </c>
    </row>
    <row r="118" spans="1:9" x14ac:dyDescent="0.35">
      <c r="A118" s="1" t="s">
        <v>144</v>
      </c>
      <c r="B118" s="1" t="s">
        <v>48</v>
      </c>
      <c r="C118" s="1" t="s">
        <v>11</v>
      </c>
      <c r="D118" s="1" t="s">
        <v>12</v>
      </c>
      <c r="E118">
        <v>849</v>
      </c>
      <c r="F118">
        <v>377</v>
      </c>
      <c r="G118" s="1" t="s">
        <v>13</v>
      </c>
      <c r="H118" s="1" t="s">
        <v>33</v>
      </c>
      <c r="I118" s="2">
        <v>45665</v>
      </c>
    </row>
    <row r="119" spans="1:9" x14ac:dyDescent="0.35">
      <c r="A119" s="1" t="s">
        <v>145</v>
      </c>
      <c r="B119" s="1" t="s">
        <v>10</v>
      </c>
      <c r="C119" s="1" t="s">
        <v>17</v>
      </c>
      <c r="D119" s="1" t="s">
        <v>12</v>
      </c>
      <c r="E119">
        <v>156</v>
      </c>
      <c r="F119">
        <v>394</v>
      </c>
      <c r="G119" s="1" t="s">
        <v>13</v>
      </c>
      <c r="H119" s="1" t="s">
        <v>33</v>
      </c>
      <c r="I119" s="2">
        <v>45682</v>
      </c>
    </row>
    <row r="120" spans="1:9" x14ac:dyDescent="0.35">
      <c r="A120" s="1" t="s">
        <v>146</v>
      </c>
      <c r="B120" s="1" t="s">
        <v>48</v>
      </c>
      <c r="C120" s="1" t="s">
        <v>11</v>
      </c>
      <c r="D120" s="1" t="s">
        <v>21</v>
      </c>
      <c r="E120">
        <v>282</v>
      </c>
      <c r="F120">
        <v>351</v>
      </c>
      <c r="G120" s="1" t="s">
        <v>13</v>
      </c>
      <c r="H120" s="1" t="s">
        <v>33</v>
      </c>
      <c r="I120" s="2">
        <v>45698</v>
      </c>
    </row>
    <row r="121" spans="1:9" x14ac:dyDescent="0.35">
      <c r="A121" s="1" t="s">
        <v>147</v>
      </c>
      <c r="B121" s="1" t="s">
        <v>10</v>
      </c>
      <c r="C121" s="1" t="s">
        <v>11</v>
      </c>
      <c r="D121" s="1" t="s">
        <v>12</v>
      </c>
      <c r="E121">
        <v>1920</v>
      </c>
      <c r="F121">
        <v>338</v>
      </c>
      <c r="G121" s="1" t="s">
        <v>13</v>
      </c>
      <c r="H121" s="1" t="s">
        <v>14</v>
      </c>
      <c r="I121" s="2">
        <v>45710</v>
      </c>
    </row>
    <row r="122" spans="1:9" x14ac:dyDescent="0.35">
      <c r="A122" s="1" t="s">
        <v>148</v>
      </c>
      <c r="B122" s="1" t="s">
        <v>27</v>
      </c>
      <c r="C122" s="1" t="s">
        <v>17</v>
      </c>
      <c r="D122" s="1" t="s">
        <v>12</v>
      </c>
      <c r="E122">
        <v>706</v>
      </c>
      <c r="F122">
        <v>50</v>
      </c>
      <c r="G122" s="1" t="s">
        <v>13</v>
      </c>
      <c r="H122" s="1" t="s">
        <v>18</v>
      </c>
      <c r="I122" s="2">
        <v>45688</v>
      </c>
    </row>
    <row r="123" spans="1:9" x14ac:dyDescent="0.35">
      <c r="A123" s="1" t="s">
        <v>149</v>
      </c>
      <c r="B123" s="1" t="s">
        <v>48</v>
      </c>
      <c r="C123" s="1" t="s">
        <v>32</v>
      </c>
      <c r="D123" s="1" t="s">
        <v>12</v>
      </c>
      <c r="E123">
        <v>975</v>
      </c>
      <c r="F123">
        <v>196</v>
      </c>
      <c r="G123" s="1" t="s">
        <v>13</v>
      </c>
      <c r="H123" s="1" t="s">
        <v>18</v>
      </c>
      <c r="I123" s="2">
        <v>45670</v>
      </c>
    </row>
    <row r="124" spans="1:9" x14ac:dyDescent="0.35">
      <c r="A124" s="1" t="s">
        <v>150</v>
      </c>
      <c r="B124" s="1" t="s">
        <v>37</v>
      </c>
      <c r="C124" s="1" t="s">
        <v>32</v>
      </c>
      <c r="D124" s="1" t="s">
        <v>12</v>
      </c>
      <c r="E124">
        <v>910</v>
      </c>
      <c r="F124">
        <v>336</v>
      </c>
      <c r="G124" s="1" t="s">
        <v>13</v>
      </c>
      <c r="H124" s="1" t="s">
        <v>23</v>
      </c>
      <c r="I124" s="2">
        <v>45719</v>
      </c>
    </row>
    <row r="125" spans="1:9" x14ac:dyDescent="0.35">
      <c r="A125" s="1" t="s">
        <v>151</v>
      </c>
      <c r="B125" s="1" t="s">
        <v>16</v>
      </c>
      <c r="C125" s="1" t="s">
        <v>11</v>
      </c>
      <c r="D125" s="1" t="s">
        <v>51</v>
      </c>
      <c r="E125">
        <v>1204</v>
      </c>
      <c r="F125">
        <v>191</v>
      </c>
      <c r="G125" s="1" t="s">
        <v>13</v>
      </c>
      <c r="H125" s="1" t="s">
        <v>33</v>
      </c>
      <c r="I125" s="2">
        <v>45662</v>
      </c>
    </row>
    <row r="126" spans="1:9" x14ac:dyDescent="0.35">
      <c r="A126" s="1" t="s">
        <v>152</v>
      </c>
      <c r="B126" s="1" t="s">
        <v>20</v>
      </c>
      <c r="C126" s="1" t="s">
        <v>17</v>
      </c>
      <c r="D126" s="1" t="s">
        <v>21</v>
      </c>
      <c r="E126">
        <v>684</v>
      </c>
      <c r="F126">
        <v>102</v>
      </c>
      <c r="G126" s="1" t="s">
        <v>13</v>
      </c>
      <c r="H126" s="1" t="s">
        <v>14</v>
      </c>
      <c r="I126" s="2">
        <v>45762</v>
      </c>
    </row>
    <row r="127" spans="1:9" x14ac:dyDescent="0.35">
      <c r="A127" s="1" t="s">
        <v>153</v>
      </c>
      <c r="B127" s="1" t="s">
        <v>10</v>
      </c>
      <c r="C127" s="1" t="s">
        <v>11</v>
      </c>
      <c r="D127" s="1" t="s">
        <v>51</v>
      </c>
      <c r="E127">
        <v>575</v>
      </c>
      <c r="F127">
        <v>353</v>
      </c>
      <c r="G127" s="1" t="s">
        <v>13</v>
      </c>
      <c r="H127" s="1" t="s">
        <v>14</v>
      </c>
      <c r="I127" s="2">
        <v>45695</v>
      </c>
    </row>
    <row r="128" spans="1:9" x14ac:dyDescent="0.35">
      <c r="A128" s="1" t="s">
        <v>154</v>
      </c>
      <c r="B128" s="1" t="s">
        <v>37</v>
      </c>
      <c r="C128" s="1" t="s">
        <v>25</v>
      </c>
      <c r="D128" s="1" t="s">
        <v>12</v>
      </c>
      <c r="E128">
        <v>1567</v>
      </c>
      <c r="F128">
        <v>118</v>
      </c>
      <c r="G128" s="1" t="s">
        <v>13</v>
      </c>
      <c r="H128" s="1" t="s">
        <v>18</v>
      </c>
      <c r="I128" s="2">
        <v>45759</v>
      </c>
    </row>
    <row r="129" spans="1:9" x14ac:dyDescent="0.35">
      <c r="A129" s="1" t="s">
        <v>155</v>
      </c>
      <c r="B129" s="1" t="s">
        <v>20</v>
      </c>
      <c r="C129" s="1" t="s">
        <v>25</v>
      </c>
      <c r="D129" s="1" t="s">
        <v>21</v>
      </c>
      <c r="E129">
        <v>821</v>
      </c>
      <c r="F129">
        <v>139</v>
      </c>
      <c r="G129" s="1" t="s">
        <v>13</v>
      </c>
      <c r="H129" s="1" t="s">
        <v>33</v>
      </c>
      <c r="I129" s="2">
        <v>45671</v>
      </c>
    </row>
    <row r="130" spans="1:9" x14ac:dyDescent="0.35">
      <c r="A130" s="1" t="s">
        <v>156</v>
      </c>
      <c r="B130" s="1" t="s">
        <v>20</v>
      </c>
      <c r="C130" s="1" t="s">
        <v>11</v>
      </c>
      <c r="D130" s="1" t="s">
        <v>51</v>
      </c>
      <c r="E130">
        <v>512</v>
      </c>
      <c r="F130">
        <v>269</v>
      </c>
      <c r="G130" s="1" t="s">
        <v>13</v>
      </c>
      <c r="H130" s="1" t="s">
        <v>23</v>
      </c>
      <c r="I130" s="2">
        <v>45694</v>
      </c>
    </row>
    <row r="131" spans="1:9" x14ac:dyDescent="0.35">
      <c r="A131" s="1" t="s">
        <v>157</v>
      </c>
      <c r="B131" s="1" t="s">
        <v>48</v>
      </c>
      <c r="C131" s="1" t="s">
        <v>32</v>
      </c>
      <c r="D131" s="1" t="s">
        <v>12</v>
      </c>
      <c r="E131">
        <v>1610</v>
      </c>
      <c r="F131">
        <v>241</v>
      </c>
      <c r="G131" s="1" t="s">
        <v>13</v>
      </c>
      <c r="H131" s="1" t="s">
        <v>33</v>
      </c>
      <c r="I131" s="2">
        <v>45672</v>
      </c>
    </row>
    <row r="132" spans="1:9" x14ac:dyDescent="0.35">
      <c r="A132" s="1" t="s">
        <v>158</v>
      </c>
      <c r="B132" s="1" t="s">
        <v>20</v>
      </c>
      <c r="C132" s="1" t="s">
        <v>32</v>
      </c>
      <c r="D132" s="1" t="s">
        <v>12</v>
      </c>
      <c r="E132">
        <v>1843</v>
      </c>
      <c r="F132">
        <v>112</v>
      </c>
      <c r="G132" s="1" t="s">
        <v>13</v>
      </c>
      <c r="H132" s="1" t="s">
        <v>42</v>
      </c>
      <c r="I132" s="2">
        <v>45755</v>
      </c>
    </row>
    <row r="133" spans="1:9" x14ac:dyDescent="0.35">
      <c r="A133" s="1" t="s">
        <v>159</v>
      </c>
      <c r="B133" s="1" t="s">
        <v>16</v>
      </c>
      <c r="C133" s="1" t="s">
        <v>11</v>
      </c>
      <c r="D133" s="1" t="s">
        <v>21</v>
      </c>
      <c r="E133">
        <v>1724</v>
      </c>
      <c r="F133">
        <v>122</v>
      </c>
      <c r="G133" s="1" t="s">
        <v>13</v>
      </c>
      <c r="H133" s="1" t="s">
        <v>33</v>
      </c>
      <c r="I133" s="2">
        <v>45722</v>
      </c>
    </row>
    <row r="134" spans="1:9" x14ac:dyDescent="0.35">
      <c r="A134" s="1" t="s">
        <v>160</v>
      </c>
      <c r="B134" s="1" t="s">
        <v>37</v>
      </c>
      <c r="C134" s="1" t="s">
        <v>11</v>
      </c>
      <c r="D134" s="1" t="s">
        <v>12</v>
      </c>
      <c r="E134">
        <v>231</v>
      </c>
      <c r="F134">
        <v>210</v>
      </c>
      <c r="G134" s="1" t="s">
        <v>13</v>
      </c>
      <c r="H134" s="1" t="s">
        <v>42</v>
      </c>
      <c r="I134" s="2">
        <v>45733</v>
      </c>
    </row>
    <row r="135" spans="1:9" x14ac:dyDescent="0.35">
      <c r="A135" s="1" t="s">
        <v>161</v>
      </c>
      <c r="B135" s="1" t="s">
        <v>20</v>
      </c>
      <c r="C135" s="1" t="s">
        <v>25</v>
      </c>
      <c r="D135" s="1" t="s">
        <v>21</v>
      </c>
      <c r="E135">
        <v>505</v>
      </c>
      <c r="F135">
        <v>218</v>
      </c>
      <c r="G135" s="1" t="s">
        <v>13</v>
      </c>
      <c r="H135" s="1" t="s">
        <v>42</v>
      </c>
      <c r="I135" s="2">
        <v>45743</v>
      </c>
    </row>
    <row r="136" spans="1:9" x14ac:dyDescent="0.35">
      <c r="A136" s="1" t="s">
        <v>162</v>
      </c>
      <c r="B136" s="1" t="s">
        <v>48</v>
      </c>
      <c r="C136" s="1" t="s">
        <v>32</v>
      </c>
      <c r="D136" s="1" t="s">
        <v>12</v>
      </c>
      <c r="E136">
        <v>1431</v>
      </c>
      <c r="F136">
        <v>138</v>
      </c>
      <c r="G136" s="1" t="s">
        <v>13</v>
      </c>
      <c r="H136" s="1" t="s">
        <v>23</v>
      </c>
      <c r="I136" s="2">
        <v>45728</v>
      </c>
    </row>
    <row r="137" spans="1:9" x14ac:dyDescent="0.35">
      <c r="A137" s="1" t="s">
        <v>163</v>
      </c>
      <c r="B137" s="1" t="s">
        <v>16</v>
      </c>
      <c r="C137" s="1" t="s">
        <v>11</v>
      </c>
      <c r="D137" s="1" t="s">
        <v>21</v>
      </c>
      <c r="E137">
        <v>1891</v>
      </c>
      <c r="F137">
        <v>225</v>
      </c>
      <c r="G137" s="1" t="s">
        <v>13</v>
      </c>
      <c r="H137" s="1" t="s">
        <v>18</v>
      </c>
      <c r="I137" s="2">
        <v>45772</v>
      </c>
    </row>
    <row r="138" spans="1:9" x14ac:dyDescent="0.35">
      <c r="A138" s="1" t="s">
        <v>164</v>
      </c>
      <c r="B138" s="1" t="s">
        <v>27</v>
      </c>
      <c r="C138" s="1" t="s">
        <v>25</v>
      </c>
      <c r="D138" s="1" t="s">
        <v>12</v>
      </c>
      <c r="E138">
        <v>738</v>
      </c>
      <c r="F138">
        <v>318</v>
      </c>
      <c r="G138" s="1" t="s">
        <v>13</v>
      </c>
      <c r="H138" s="1" t="s">
        <v>33</v>
      </c>
      <c r="I138" s="2">
        <v>45702</v>
      </c>
    </row>
    <row r="139" spans="1:9" x14ac:dyDescent="0.35">
      <c r="A139" s="1" t="s">
        <v>165</v>
      </c>
      <c r="B139" s="1" t="s">
        <v>37</v>
      </c>
      <c r="C139" s="1" t="s">
        <v>32</v>
      </c>
      <c r="D139" s="1" t="s">
        <v>12</v>
      </c>
      <c r="E139">
        <v>1697</v>
      </c>
      <c r="F139">
        <v>122</v>
      </c>
      <c r="G139" s="1" t="s">
        <v>13</v>
      </c>
      <c r="H139" s="1" t="s">
        <v>42</v>
      </c>
      <c r="I139" s="2">
        <v>45722</v>
      </c>
    </row>
    <row r="140" spans="1:9" x14ac:dyDescent="0.35">
      <c r="A140" s="1" t="s">
        <v>166</v>
      </c>
      <c r="B140" s="1" t="s">
        <v>20</v>
      </c>
      <c r="C140" s="1" t="s">
        <v>17</v>
      </c>
      <c r="D140" s="1" t="s">
        <v>12</v>
      </c>
      <c r="E140">
        <v>444</v>
      </c>
      <c r="F140">
        <v>294</v>
      </c>
      <c r="G140" s="1" t="s">
        <v>13</v>
      </c>
      <c r="H140" s="1" t="s">
        <v>33</v>
      </c>
      <c r="I140" s="2">
        <v>45692</v>
      </c>
    </row>
    <row r="141" spans="1:9" x14ac:dyDescent="0.35">
      <c r="A141" s="1" t="s">
        <v>167</v>
      </c>
      <c r="B141" s="1" t="s">
        <v>48</v>
      </c>
      <c r="C141" s="1" t="s">
        <v>25</v>
      </c>
      <c r="D141" s="1" t="s">
        <v>21</v>
      </c>
      <c r="E141">
        <v>1397</v>
      </c>
      <c r="F141">
        <v>126</v>
      </c>
      <c r="G141" s="1" t="s">
        <v>13</v>
      </c>
      <c r="H141" s="1" t="s">
        <v>18</v>
      </c>
      <c r="I141" s="2">
        <v>45738</v>
      </c>
    </row>
    <row r="142" spans="1:9" x14ac:dyDescent="0.35">
      <c r="A142" s="1" t="s">
        <v>168</v>
      </c>
      <c r="B142" s="1" t="s">
        <v>27</v>
      </c>
      <c r="C142" s="1" t="s">
        <v>32</v>
      </c>
      <c r="D142" s="1" t="s">
        <v>12</v>
      </c>
      <c r="E142">
        <v>1698</v>
      </c>
      <c r="F142">
        <v>208</v>
      </c>
      <c r="G142" s="1" t="s">
        <v>13</v>
      </c>
      <c r="H142" s="1" t="s">
        <v>18</v>
      </c>
      <c r="I142" s="2">
        <v>45707</v>
      </c>
    </row>
    <row r="143" spans="1:9" x14ac:dyDescent="0.35">
      <c r="A143" s="1" t="s">
        <v>169</v>
      </c>
      <c r="B143" s="1" t="s">
        <v>27</v>
      </c>
      <c r="C143" s="1" t="s">
        <v>32</v>
      </c>
      <c r="D143" s="1" t="s">
        <v>12</v>
      </c>
      <c r="E143">
        <v>1219</v>
      </c>
      <c r="F143">
        <v>373</v>
      </c>
      <c r="G143" s="1" t="s">
        <v>13</v>
      </c>
      <c r="H143" s="1" t="s">
        <v>14</v>
      </c>
      <c r="I143" s="2">
        <v>45722</v>
      </c>
    </row>
    <row r="144" spans="1:9" x14ac:dyDescent="0.35">
      <c r="A144" s="1" t="s">
        <v>170</v>
      </c>
      <c r="B144" s="1" t="s">
        <v>10</v>
      </c>
      <c r="C144" s="1" t="s">
        <v>25</v>
      </c>
      <c r="D144" s="1" t="s">
        <v>12</v>
      </c>
      <c r="E144">
        <v>1840</v>
      </c>
      <c r="F144">
        <v>147</v>
      </c>
      <c r="G144" s="1" t="s">
        <v>13</v>
      </c>
      <c r="H144" s="1" t="s">
        <v>18</v>
      </c>
      <c r="I144" s="2">
        <v>45759</v>
      </c>
    </row>
    <row r="145" spans="1:9" x14ac:dyDescent="0.35">
      <c r="A145" s="1" t="s">
        <v>171</v>
      </c>
      <c r="B145" s="1" t="s">
        <v>16</v>
      </c>
      <c r="C145" s="1" t="s">
        <v>17</v>
      </c>
      <c r="D145" s="1" t="s">
        <v>21</v>
      </c>
      <c r="E145">
        <v>1286</v>
      </c>
      <c r="F145">
        <v>151</v>
      </c>
      <c r="G145" s="1" t="s">
        <v>13</v>
      </c>
      <c r="H145" s="1" t="s">
        <v>23</v>
      </c>
      <c r="I145" s="2">
        <v>45766</v>
      </c>
    </row>
    <row r="146" spans="1:9" x14ac:dyDescent="0.35">
      <c r="A146" s="1" t="s">
        <v>172</v>
      </c>
      <c r="B146" s="1" t="s">
        <v>20</v>
      </c>
      <c r="C146" s="1" t="s">
        <v>25</v>
      </c>
      <c r="D146" s="1" t="s">
        <v>12</v>
      </c>
      <c r="E146">
        <v>1406</v>
      </c>
      <c r="F146">
        <v>181</v>
      </c>
      <c r="G146" s="1" t="s">
        <v>13</v>
      </c>
      <c r="H146" s="1" t="s">
        <v>42</v>
      </c>
      <c r="I146" s="2">
        <v>45737</v>
      </c>
    </row>
    <row r="147" spans="1:9" x14ac:dyDescent="0.35">
      <c r="A147" s="1" t="s">
        <v>173</v>
      </c>
      <c r="B147" s="1" t="s">
        <v>48</v>
      </c>
      <c r="C147" s="1" t="s">
        <v>32</v>
      </c>
      <c r="D147" s="1" t="s">
        <v>21</v>
      </c>
      <c r="E147">
        <v>166</v>
      </c>
      <c r="F147">
        <v>151</v>
      </c>
      <c r="G147" s="1" t="s">
        <v>13</v>
      </c>
      <c r="H147" s="1" t="s">
        <v>14</v>
      </c>
      <c r="I147" s="2">
        <v>45718</v>
      </c>
    </row>
    <row r="148" spans="1:9" x14ac:dyDescent="0.35">
      <c r="A148" s="1" t="s">
        <v>174</v>
      </c>
      <c r="B148" s="1" t="s">
        <v>10</v>
      </c>
      <c r="C148" s="1" t="s">
        <v>11</v>
      </c>
      <c r="D148" s="1" t="s">
        <v>12</v>
      </c>
      <c r="E148">
        <v>509</v>
      </c>
      <c r="F148">
        <v>68</v>
      </c>
      <c r="G148" s="1" t="s">
        <v>13</v>
      </c>
      <c r="H148" s="1" t="s">
        <v>23</v>
      </c>
      <c r="I148" s="2">
        <v>45775</v>
      </c>
    </row>
    <row r="149" spans="1:9" x14ac:dyDescent="0.35">
      <c r="A149" s="1" t="s">
        <v>175</v>
      </c>
      <c r="B149" s="1" t="s">
        <v>16</v>
      </c>
      <c r="C149" s="1" t="s">
        <v>11</v>
      </c>
      <c r="D149" s="1" t="s">
        <v>12</v>
      </c>
      <c r="E149">
        <v>1396</v>
      </c>
      <c r="F149">
        <v>131</v>
      </c>
      <c r="G149" s="1" t="s">
        <v>13</v>
      </c>
      <c r="H149" s="1" t="s">
        <v>33</v>
      </c>
      <c r="I149" s="2">
        <v>45712</v>
      </c>
    </row>
    <row r="150" spans="1:9" x14ac:dyDescent="0.35">
      <c r="A150" s="1" t="s">
        <v>176</v>
      </c>
      <c r="B150" s="1" t="s">
        <v>10</v>
      </c>
      <c r="C150" s="1" t="s">
        <v>25</v>
      </c>
      <c r="D150" s="1" t="s">
        <v>12</v>
      </c>
      <c r="E150">
        <v>1015</v>
      </c>
      <c r="F150">
        <v>328</v>
      </c>
      <c r="G150" s="1" t="s">
        <v>13</v>
      </c>
      <c r="H150" s="1" t="s">
        <v>42</v>
      </c>
      <c r="I150" s="2">
        <v>45660</v>
      </c>
    </row>
    <row r="151" spans="1:9" x14ac:dyDescent="0.35">
      <c r="A151" s="1" t="s">
        <v>177</v>
      </c>
      <c r="B151" s="1" t="s">
        <v>37</v>
      </c>
      <c r="C151" s="1" t="s">
        <v>32</v>
      </c>
      <c r="D151" s="1" t="s">
        <v>12</v>
      </c>
      <c r="E151">
        <v>849</v>
      </c>
      <c r="F151">
        <v>388</v>
      </c>
      <c r="G151" s="1" t="s">
        <v>13</v>
      </c>
      <c r="H151" s="1" t="s">
        <v>18</v>
      </c>
      <c r="I151" s="2">
        <v>45749</v>
      </c>
    </row>
    <row r="152" spans="1:9" x14ac:dyDescent="0.35">
      <c r="A152" s="1" t="s">
        <v>178</v>
      </c>
      <c r="B152" s="1" t="s">
        <v>16</v>
      </c>
      <c r="C152" s="1" t="s">
        <v>11</v>
      </c>
      <c r="D152" s="1" t="s">
        <v>21</v>
      </c>
      <c r="E152">
        <v>597</v>
      </c>
      <c r="F152">
        <v>380</v>
      </c>
      <c r="G152" s="1" t="s">
        <v>13</v>
      </c>
      <c r="H152" s="1" t="s">
        <v>42</v>
      </c>
      <c r="I152" s="2">
        <v>45697</v>
      </c>
    </row>
    <row r="153" spans="1:9" x14ac:dyDescent="0.35">
      <c r="A153" s="1" t="s">
        <v>179</v>
      </c>
      <c r="B153" s="1" t="s">
        <v>16</v>
      </c>
      <c r="C153" s="1" t="s">
        <v>32</v>
      </c>
      <c r="D153" s="1" t="s">
        <v>12</v>
      </c>
      <c r="E153">
        <v>1005</v>
      </c>
      <c r="F153">
        <v>178</v>
      </c>
      <c r="G153" s="1" t="s">
        <v>13</v>
      </c>
      <c r="H153" s="1" t="s">
        <v>33</v>
      </c>
      <c r="I153" s="2">
        <v>45695</v>
      </c>
    </row>
    <row r="154" spans="1:9" x14ac:dyDescent="0.35">
      <c r="A154" s="1" t="s">
        <v>180</v>
      </c>
      <c r="B154" s="1" t="s">
        <v>20</v>
      </c>
      <c r="C154" s="1" t="s">
        <v>25</v>
      </c>
      <c r="D154" s="1" t="s">
        <v>12</v>
      </c>
      <c r="E154">
        <v>514</v>
      </c>
      <c r="F154">
        <v>393</v>
      </c>
      <c r="G154" s="1" t="s">
        <v>13</v>
      </c>
      <c r="H154" s="1" t="s">
        <v>14</v>
      </c>
      <c r="I154" s="2">
        <v>45681</v>
      </c>
    </row>
    <row r="155" spans="1:9" x14ac:dyDescent="0.35">
      <c r="A155" s="1" t="s">
        <v>181</v>
      </c>
      <c r="B155" s="1" t="s">
        <v>16</v>
      </c>
      <c r="C155" s="1" t="s">
        <v>11</v>
      </c>
      <c r="D155" s="1" t="s">
        <v>21</v>
      </c>
      <c r="E155">
        <v>824</v>
      </c>
      <c r="F155">
        <v>359</v>
      </c>
      <c r="G155" s="1" t="s">
        <v>13</v>
      </c>
      <c r="H155" s="1" t="s">
        <v>14</v>
      </c>
      <c r="I155" s="2">
        <v>45741</v>
      </c>
    </row>
    <row r="156" spans="1:9" x14ac:dyDescent="0.35">
      <c r="A156" s="1" t="s">
        <v>182</v>
      </c>
      <c r="B156" s="1" t="s">
        <v>10</v>
      </c>
      <c r="C156" s="1" t="s">
        <v>32</v>
      </c>
      <c r="D156" s="1" t="s">
        <v>12</v>
      </c>
      <c r="E156">
        <v>1157</v>
      </c>
      <c r="F156">
        <v>138</v>
      </c>
      <c r="G156" s="1" t="s">
        <v>13</v>
      </c>
      <c r="H156" s="1" t="s">
        <v>14</v>
      </c>
      <c r="I156" s="2">
        <v>45690</v>
      </c>
    </row>
    <row r="157" spans="1:9" x14ac:dyDescent="0.35">
      <c r="A157" s="1" t="s">
        <v>183</v>
      </c>
      <c r="B157" s="1" t="s">
        <v>16</v>
      </c>
      <c r="C157" s="1" t="s">
        <v>11</v>
      </c>
      <c r="D157" s="1" t="s">
        <v>12</v>
      </c>
      <c r="E157">
        <v>1499</v>
      </c>
      <c r="F157">
        <v>262</v>
      </c>
      <c r="G157" s="1" t="s">
        <v>13</v>
      </c>
      <c r="H157" s="1" t="s">
        <v>18</v>
      </c>
      <c r="I157" s="2">
        <v>45759</v>
      </c>
    </row>
    <row r="158" spans="1:9" x14ac:dyDescent="0.35">
      <c r="A158" s="1" t="s">
        <v>184</v>
      </c>
      <c r="B158" s="1" t="s">
        <v>20</v>
      </c>
      <c r="C158" s="1" t="s">
        <v>25</v>
      </c>
      <c r="D158" s="1" t="s">
        <v>51</v>
      </c>
      <c r="E158">
        <v>616</v>
      </c>
      <c r="F158">
        <v>192</v>
      </c>
      <c r="G158" s="1" t="s">
        <v>13</v>
      </c>
      <c r="H158" s="1" t="s">
        <v>23</v>
      </c>
      <c r="I158" s="2">
        <v>45725</v>
      </c>
    </row>
    <row r="159" spans="1:9" x14ac:dyDescent="0.35">
      <c r="A159" s="1" t="s">
        <v>185</v>
      </c>
      <c r="B159" s="1" t="s">
        <v>20</v>
      </c>
      <c r="C159" s="1" t="s">
        <v>32</v>
      </c>
      <c r="D159" s="1" t="s">
        <v>12</v>
      </c>
      <c r="E159">
        <v>563</v>
      </c>
      <c r="F159">
        <v>114</v>
      </c>
      <c r="G159" s="1" t="s">
        <v>13</v>
      </c>
      <c r="H159" s="1" t="s">
        <v>23</v>
      </c>
      <c r="I159" s="2">
        <v>45734</v>
      </c>
    </row>
    <row r="160" spans="1:9" x14ac:dyDescent="0.35">
      <c r="A160" s="1" t="s">
        <v>186</v>
      </c>
      <c r="B160" s="1" t="s">
        <v>37</v>
      </c>
      <c r="C160" s="1" t="s">
        <v>11</v>
      </c>
      <c r="D160" s="1" t="s">
        <v>12</v>
      </c>
      <c r="E160">
        <v>1628</v>
      </c>
      <c r="F160">
        <v>125</v>
      </c>
      <c r="G160" s="1" t="s">
        <v>13</v>
      </c>
      <c r="H160" s="1" t="s">
        <v>42</v>
      </c>
      <c r="I160" s="2">
        <v>45740</v>
      </c>
    </row>
    <row r="161" spans="1:9" x14ac:dyDescent="0.35">
      <c r="A161" s="1" t="s">
        <v>187</v>
      </c>
      <c r="B161" s="1" t="s">
        <v>10</v>
      </c>
      <c r="C161" s="1" t="s">
        <v>25</v>
      </c>
      <c r="D161" s="1" t="s">
        <v>51</v>
      </c>
      <c r="E161">
        <v>735</v>
      </c>
      <c r="F161">
        <v>248</v>
      </c>
      <c r="G161" s="1" t="s">
        <v>13</v>
      </c>
      <c r="H161" s="1" t="s">
        <v>18</v>
      </c>
      <c r="I161" s="2">
        <v>45680</v>
      </c>
    </row>
    <row r="162" spans="1:9" x14ac:dyDescent="0.35">
      <c r="A162" s="1" t="s">
        <v>188</v>
      </c>
      <c r="B162" s="1" t="s">
        <v>27</v>
      </c>
      <c r="C162" s="1" t="s">
        <v>11</v>
      </c>
      <c r="D162" s="1" t="s">
        <v>12</v>
      </c>
      <c r="E162">
        <v>1406</v>
      </c>
      <c r="F162">
        <v>192</v>
      </c>
      <c r="G162" s="1" t="s">
        <v>13</v>
      </c>
      <c r="H162" s="1" t="s">
        <v>14</v>
      </c>
      <c r="I162" s="2">
        <v>45735</v>
      </c>
    </row>
    <row r="163" spans="1:9" x14ac:dyDescent="0.35">
      <c r="A163" s="1" t="s">
        <v>189</v>
      </c>
      <c r="B163" s="1" t="s">
        <v>27</v>
      </c>
      <c r="C163" s="1" t="s">
        <v>11</v>
      </c>
      <c r="D163" s="1" t="s">
        <v>12</v>
      </c>
      <c r="E163">
        <v>1397</v>
      </c>
      <c r="F163">
        <v>365</v>
      </c>
      <c r="G163" s="1" t="s">
        <v>13</v>
      </c>
      <c r="H163" s="1" t="s">
        <v>14</v>
      </c>
      <c r="I163" s="2">
        <v>45751</v>
      </c>
    </row>
    <row r="164" spans="1:9" x14ac:dyDescent="0.35">
      <c r="A164" s="1" t="s">
        <v>190</v>
      </c>
      <c r="B164" s="1" t="s">
        <v>16</v>
      </c>
      <c r="C164" s="1" t="s">
        <v>17</v>
      </c>
      <c r="D164" s="1" t="s">
        <v>12</v>
      </c>
      <c r="E164">
        <v>1143</v>
      </c>
      <c r="F164">
        <v>142</v>
      </c>
      <c r="G164" s="1" t="s">
        <v>13</v>
      </c>
      <c r="H164" s="1" t="s">
        <v>33</v>
      </c>
      <c r="I164" s="2">
        <v>45695</v>
      </c>
    </row>
    <row r="165" spans="1:9" x14ac:dyDescent="0.35">
      <c r="A165" s="1" t="s">
        <v>191</v>
      </c>
      <c r="B165" s="1" t="s">
        <v>37</v>
      </c>
      <c r="C165" s="1" t="s">
        <v>17</v>
      </c>
      <c r="D165" s="1" t="s">
        <v>21</v>
      </c>
      <c r="E165">
        <v>1585</v>
      </c>
      <c r="F165">
        <v>354</v>
      </c>
      <c r="G165" s="1" t="s">
        <v>13</v>
      </c>
      <c r="H165" s="1" t="s">
        <v>33</v>
      </c>
      <c r="I165" s="2">
        <v>45756</v>
      </c>
    </row>
    <row r="166" spans="1:9" x14ac:dyDescent="0.35">
      <c r="A166" s="1" t="s">
        <v>192</v>
      </c>
      <c r="B166" s="1" t="s">
        <v>48</v>
      </c>
      <c r="C166" s="1" t="s">
        <v>25</v>
      </c>
      <c r="D166" s="1" t="s">
        <v>12</v>
      </c>
      <c r="E166">
        <v>721</v>
      </c>
      <c r="F166">
        <v>273</v>
      </c>
      <c r="G166" s="1" t="s">
        <v>13</v>
      </c>
      <c r="H166" s="1" t="s">
        <v>14</v>
      </c>
      <c r="I166" s="2">
        <v>45696</v>
      </c>
    </row>
    <row r="167" spans="1:9" x14ac:dyDescent="0.35">
      <c r="A167" s="1" t="s">
        <v>193</v>
      </c>
      <c r="B167" s="1" t="s">
        <v>16</v>
      </c>
      <c r="C167" s="1" t="s">
        <v>17</v>
      </c>
      <c r="D167" s="1" t="s">
        <v>12</v>
      </c>
      <c r="E167">
        <v>484</v>
      </c>
      <c r="F167">
        <v>340</v>
      </c>
      <c r="G167" s="1" t="s">
        <v>13</v>
      </c>
      <c r="H167" s="1" t="s">
        <v>14</v>
      </c>
      <c r="I167" s="2">
        <v>45687</v>
      </c>
    </row>
    <row r="168" spans="1:9" x14ac:dyDescent="0.35">
      <c r="A168" s="1" t="s">
        <v>194</v>
      </c>
      <c r="B168" s="1" t="s">
        <v>37</v>
      </c>
      <c r="C168" s="1" t="s">
        <v>25</v>
      </c>
      <c r="D168" s="1" t="s">
        <v>21</v>
      </c>
      <c r="E168">
        <v>1395</v>
      </c>
      <c r="F168">
        <v>151</v>
      </c>
      <c r="G168" s="1" t="s">
        <v>13</v>
      </c>
      <c r="H168" s="1" t="s">
        <v>18</v>
      </c>
      <c r="I168" s="2">
        <v>45739</v>
      </c>
    </row>
    <row r="169" spans="1:9" x14ac:dyDescent="0.35">
      <c r="A169" s="1" t="s">
        <v>195</v>
      </c>
      <c r="B169" s="1" t="s">
        <v>10</v>
      </c>
      <c r="C169" s="1" t="s">
        <v>17</v>
      </c>
      <c r="D169" s="1" t="s">
        <v>21</v>
      </c>
      <c r="E169">
        <v>186</v>
      </c>
      <c r="F169">
        <v>316</v>
      </c>
      <c r="G169" s="1" t="s">
        <v>13</v>
      </c>
      <c r="H169" s="1" t="s">
        <v>23</v>
      </c>
      <c r="I169" s="2">
        <v>45735</v>
      </c>
    </row>
    <row r="170" spans="1:9" x14ac:dyDescent="0.35">
      <c r="A170" s="1" t="s">
        <v>196</v>
      </c>
      <c r="B170" s="1" t="s">
        <v>10</v>
      </c>
      <c r="C170" s="1" t="s">
        <v>11</v>
      </c>
      <c r="D170" s="1" t="s">
        <v>12</v>
      </c>
      <c r="E170">
        <v>1138</v>
      </c>
      <c r="F170">
        <v>159</v>
      </c>
      <c r="G170" s="1" t="s">
        <v>13</v>
      </c>
      <c r="H170" s="1" t="s">
        <v>33</v>
      </c>
      <c r="I170" s="2">
        <v>45716</v>
      </c>
    </row>
    <row r="171" spans="1:9" x14ac:dyDescent="0.35">
      <c r="A171" s="1" t="s">
        <v>197</v>
      </c>
      <c r="B171" s="1" t="s">
        <v>10</v>
      </c>
      <c r="C171" s="1" t="s">
        <v>25</v>
      </c>
      <c r="D171" s="1" t="s">
        <v>12</v>
      </c>
      <c r="E171">
        <v>427</v>
      </c>
      <c r="F171">
        <v>379</v>
      </c>
      <c r="G171" s="1" t="s">
        <v>13</v>
      </c>
      <c r="H171" s="1" t="s">
        <v>23</v>
      </c>
      <c r="I171" s="2">
        <v>45670</v>
      </c>
    </row>
    <row r="172" spans="1:9" x14ac:dyDescent="0.35">
      <c r="A172" s="1" t="s">
        <v>198</v>
      </c>
      <c r="B172" s="1" t="s">
        <v>10</v>
      </c>
      <c r="C172" s="1" t="s">
        <v>25</v>
      </c>
      <c r="D172" s="1" t="s">
        <v>12</v>
      </c>
      <c r="E172">
        <v>1369</v>
      </c>
      <c r="F172">
        <v>314</v>
      </c>
      <c r="G172" s="1" t="s">
        <v>13</v>
      </c>
      <c r="H172" s="1" t="s">
        <v>18</v>
      </c>
      <c r="I172" s="2">
        <v>45679</v>
      </c>
    </row>
    <row r="173" spans="1:9" x14ac:dyDescent="0.35">
      <c r="A173" s="1" t="s">
        <v>199</v>
      </c>
      <c r="B173" s="1" t="s">
        <v>10</v>
      </c>
      <c r="C173" s="1" t="s">
        <v>11</v>
      </c>
      <c r="D173" s="1" t="s">
        <v>21</v>
      </c>
      <c r="E173">
        <v>1065</v>
      </c>
      <c r="F173">
        <v>52</v>
      </c>
      <c r="G173" s="1" t="s">
        <v>13</v>
      </c>
      <c r="H173" s="1" t="s">
        <v>14</v>
      </c>
      <c r="I173" s="2">
        <v>45778</v>
      </c>
    </row>
    <row r="174" spans="1:9" x14ac:dyDescent="0.35">
      <c r="A174" s="1" t="s">
        <v>200</v>
      </c>
      <c r="B174" s="1" t="s">
        <v>37</v>
      </c>
      <c r="C174" s="1" t="s">
        <v>25</v>
      </c>
      <c r="D174" s="1" t="s">
        <v>12</v>
      </c>
      <c r="E174">
        <v>633</v>
      </c>
      <c r="F174">
        <v>134</v>
      </c>
      <c r="G174" s="1" t="s">
        <v>13</v>
      </c>
      <c r="H174" s="1" t="s">
        <v>23</v>
      </c>
      <c r="I174" s="2">
        <v>45713</v>
      </c>
    </row>
    <row r="175" spans="1:9" x14ac:dyDescent="0.35">
      <c r="A175" s="1" t="s">
        <v>201</v>
      </c>
      <c r="B175" s="1" t="s">
        <v>37</v>
      </c>
      <c r="C175" s="1" t="s">
        <v>25</v>
      </c>
      <c r="D175" s="1" t="s">
        <v>12</v>
      </c>
      <c r="E175">
        <v>1415</v>
      </c>
      <c r="F175">
        <v>331</v>
      </c>
      <c r="G175" s="1" t="s">
        <v>13</v>
      </c>
      <c r="H175" s="1" t="s">
        <v>14</v>
      </c>
      <c r="I175" s="2">
        <v>45709</v>
      </c>
    </row>
    <row r="176" spans="1:9" x14ac:dyDescent="0.35">
      <c r="A176" s="1" t="s">
        <v>202</v>
      </c>
      <c r="B176" s="1" t="s">
        <v>20</v>
      </c>
      <c r="C176" s="1" t="s">
        <v>17</v>
      </c>
      <c r="D176" s="1" t="s">
        <v>21</v>
      </c>
      <c r="E176">
        <v>1497</v>
      </c>
      <c r="F176">
        <v>377</v>
      </c>
      <c r="G176" s="1" t="s">
        <v>13</v>
      </c>
      <c r="H176" s="1" t="s">
        <v>14</v>
      </c>
      <c r="I176" s="2">
        <v>45746</v>
      </c>
    </row>
    <row r="177" spans="1:9" x14ac:dyDescent="0.35">
      <c r="A177" s="1" t="s">
        <v>203</v>
      </c>
      <c r="B177" s="1" t="s">
        <v>27</v>
      </c>
      <c r="C177" s="1" t="s">
        <v>25</v>
      </c>
      <c r="D177" s="1" t="s">
        <v>21</v>
      </c>
      <c r="E177">
        <v>880</v>
      </c>
      <c r="F177">
        <v>353</v>
      </c>
      <c r="G177" s="1" t="s">
        <v>13</v>
      </c>
      <c r="H177" s="1" t="s">
        <v>42</v>
      </c>
      <c r="I177" s="2">
        <v>45716</v>
      </c>
    </row>
    <row r="178" spans="1:9" x14ac:dyDescent="0.35">
      <c r="A178" s="1" t="s">
        <v>204</v>
      </c>
      <c r="B178" s="1" t="s">
        <v>10</v>
      </c>
      <c r="C178" s="1" t="s">
        <v>32</v>
      </c>
      <c r="D178" s="1" t="s">
        <v>12</v>
      </c>
      <c r="E178">
        <v>341</v>
      </c>
      <c r="F178">
        <v>166</v>
      </c>
      <c r="G178" s="1" t="s">
        <v>13</v>
      </c>
      <c r="H178" s="1" t="s">
        <v>23</v>
      </c>
      <c r="I178" s="2">
        <v>45736</v>
      </c>
    </row>
    <row r="179" spans="1:9" x14ac:dyDescent="0.35">
      <c r="A179" s="1" t="s">
        <v>205</v>
      </c>
      <c r="B179" s="1" t="s">
        <v>48</v>
      </c>
      <c r="C179" s="1" t="s">
        <v>11</v>
      </c>
      <c r="D179" s="1" t="s">
        <v>21</v>
      </c>
      <c r="E179">
        <v>1190</v>
      </c>
      <c r="F179">
        <v>270</v>
      </c>
      <c r="G179" s="1" t="s">
        <v>13</v>
      </c>
      <c r="H179" s="1" t="s">
        <v>23</v>
      </c>
      <c r="I179" s="2">
        <v>45709</v>
      </c>
    </row>
    <row r="180" spans="1:9" x14ac:dyDescent="0.35">
      <c r="A180" s="1" t="s">
        <v>206</v>
      </c>
      <c r="B180" s="1" t="s">
        <v>37</v>
      </c>
      <c r="C180" s="1" t="s">
        <v>17</v>
      </c>
      <c r="D180" s="1" t="s">
        <v>12</v>
      </c>
      <c r="E180">
        <v>673</v>
      </c>
      <c r="F180">
        <v>203</v>
      </c>
      <c r="G180" s="1" t="s">
        <v>13</v>
      </c>
      <c r="H180" s="1" t="s">
        <v>14</v>
      </c>
      <c r="I180" s="2">
        <v>45693</v>
      </c>
    </row>
    <row r="181" spans="1:9" x14ac:dyDescent="0.35">
      <c r="A181" s="1" t="s">
        <v>207</v>
      </c>
      <c r="B181" s="1" t="s">
        <v>48</v>
      </c>
      <c r="C181" s="1" t="s">
        <v>17</v>
      </c>
      <c r="D181" s="1" t="s">
        <v>21</v>
      </c>
      <c r="E181">
        <v>1067</v>
      </c>
      <c r="F181">
        <v>202</v>
      </c>
      <c r="G181" s="1" t="s">
        <v>13</v>
      </c>
      <c r="H181" s="1" t="s">
        <v>18</v>
      </c>
      <c r="I181" s="2">
        <v>45704</v>
      </c>
    </row>
    <row r="182" spans="1:9" x14ac:dyDescent="0.35">
      <c r="A182" s="1" t="s">
        <v>208</v>
      </c>
      <c r="B182" s="1" t="s">
        <v>48</v>
      </c>
      <c r="C182" s="1" t="s">
        <v>32</v>
      </c>
      <c r="D182" s="1" t="s">
        <v>12</v>
      </c>
      <c r="E182">
        <v>550</v>
      </c>
      <c r="F182">
        <v>61</v>
      </c>
      <c r="G182" s="1" t="s">
        <v>13</v>
      </c>
      <c r="H182" s="1" t="s">
        <v>42</v>
      </c>
      <c r="I182" s="2">
        <v>45753</v>
      </c>
    </row>
    <row r="183" spans="1:9" x14ac:dyDescent="0.35">
      <c r="A183" s="1" t="s">
        <v>209</v>
      </c>
      <c r="B183" s="1" t="s">
        <v>48</v>
      </c>
      <c r="C183" s="1" t="s">
        <v>11</v>
      </c>
      <c r="D183" s="1" t="s">
        <v>12</v>
      </c>
      <c r="E183">
        <v>1035</v>
      </c>
      <c r="F183">
        <v>182</v>
      </c>
      <c r="G183" s="1" t="s">
        <v>13</v>
      </c>
      <c r="H183" s="1" t="s">
        <v>14</v>
      </c>
      <c r="I183" s="2">
        <v>45729</v>
      </c>
    </row>
    <row r="184" spans="1:9" x14ac:dyDescent="0.35">
      <c r="A184" s="1" t="s">
        <v>210</v>
      </c>
      <c r="B184" s="1" t="s">
        <v>20</v>
      </c>
      <c r="C184" s="1" t="s">
        <v>11</v>
      </c>
      <c r="D184" s="1" t="s">
        <v>21</v>
      </c>
      <c r="E184">
        <v>854</v>
      </c>
      <c r="F184">
        <v>353</v>
      </c>
      <c r="G184" s="1" t="s">
        <v>13</v>
      </c>
      <c r="H184" s="1" t="s">
        <v>33</v>
      </c>
      <c r="I184" s="2">
        <v>45756</v>
      </c>
    </row>
    <row r="185" spans="1:9" x14ac:dyDescent="0.35">
      <c r="A185" s="1" t="s">
        <v>211</v>
      </c>
      <c r="B185" s="1" t="s">
        <v>37</v>
      </c>
      <c r="C185" s="1" t="s">
        <v>17</v>
      </c>
      <c r="D185" s="1" t="s">
        <v>12</v>
      </c>
      <c r="E185">
        <v>171</v>
      </c>
      <c r="F185">
        <v>342</v>
      </c>
      <c r="G185" s="1" t="s">
        <v>13</v>
      </c>
      <c r="H185" s="1" t="s">
        <v>33</v>
      </c>
      <c r="I185" s="2">
        <v>45679</v>
      </c>
    </row>
    <row r="186" spans="1:9" x14ac:dyDescent="0.35">
      <c r="A186" s="1" t="s">
        <v>212</v>
      </c>
      <c r="B186" s="1" t="s">
        <v>48</v>
      </c>
      <c r="C186" s="1" t="s">
        <v>25</v>
      </c>
      <c r="D186" s="1" t="s">
        <v>12</v>
      </c>
      <c r="E186">
        <v>623</v>
      </c>
      <c r="F186">
        <v>349</v>
      </c>
      <c r="G186" s="1" t="s">
        <v>13</v>
      </c>
      <c r="H186" s="1" t="s">
        <v>42</v>
      </c>
      <c r="I186" s="2">
        <v>45710</v>
      </c>
    </row>
    <row r="187" spans="1:9" x14ac:dyDescent="0.35">
      <c r="A187" s="1" t="s">
        <v>213</v>
      </c>
      <c r="B187" s="1" t="s">
        <v>10</v>
      </c>
      <c r="C187" s="1" t="s">
        <v>17</v>
      </c>
      <c r="D187" s="1" t="s">
        <v>21</v>
      </c>
      <c r="E187">
        <v>1293</v>
      </c>
      <c r="F187">
        <v>277</v>
      </c>
      <c r="G187" s="1" t="s">
        <v>13</v>
      </c>
      <c r="H187" s="1" t="s">
        <v>18</v>
      </c>
      <c r="I187" s="2">
        <v>45744</v>
      </c>
    </row>
    <row r="188" spans="1:9" x14ac:dyDescent="0.35">
      <c r="A188" s="1" t="s">
        <v>214</v>
      </c>
      <c r="B188" s="1" t="s">
        <v>16</v>
      </c>
      <c r="C188" s="1" t="s">
        <v>11</v>
      </c>
      <c r="D188" s="1" t="s">
        <v>21</v>
      </c>
      <c r="E188">
        <v>359</v>
      </c>
      <c r="F188">
        <v>320</v>
      </c>
      <c r="G188" s="1" t="s">
        <v>13</v>
      </c>
      <c r="H188" s="1" t="s">
        <v>14</v>
      </c>
      <c r="I188" s="2">
        <v>45678</v>
      </c>
    </row>
    <row r="189" spans="1:9" x14ac:dyDescent="0.35">
      <c r="A189" s="1" t="s">
        <v>215</v>
      </c>
      <c r="B189" s="1" t="s">
        <v>48</v>
      </c>
      <c r="C189" s="1" t="s">
        <v>32</v>
      </c>
      <c r="D189" s="1" t="s">
        <v>12</v>
      </c>
      <c r="E189">
        <v>455</v>
      </c>
      <c r="F189">
        <v>92</v>
      </c>
      <c r="G189" s="1" t="s">
        <v>13</v>
      </c>
      <c r="H189" s="1" t="s">
        <v>23</v>
      </c>
      <c r="I189" s="2">
        <v>45686</v>
      </c>
    </row>
    <row r="190" spans="1:9" x14ac:dyDescent="0.35">
      <c r="A190" s="1" t="s">
        <v>216</v>
      </c>
      <c r="B190" s="1" t="s">
        <v>20</v>
      </c>
      <c r="C190" s="1" t="s">
        <v>17</v>
      </c>
      <c r="D190" s="1" t="s">
        <v>12</v>
      </c>
      <c r="E190">
        <v>1443</v>
      </c>
      <c r="F190">
        <v>392</v>
      </c>
      <c r="G190" s="1" t="s">
        <v>13</v>
      </c>
      <c r="H190" s="1" t="s">
        <v>42</v>
      </c>
      <c r="I190" s="2">
        <v>45658</v>
      </c>
    </row>
    <row r="191" spans="1:9" x14ac:dyDescent="0.35">
      <c r="A191" s="1" t="s">
        <v>217</v>
      </c>
      <c r="B191" s="1" t="s">
        <v>37</v>
      </c>
      <c r="C191" s="1" t="s">
        <v>11</v>
      </c>
      <c r="D191" s="1" t="s">
        <v>12</v>
      </c>
      <c r="E191">
        <v>853</v>
      </c>
      <c r="F191">
        <v>375</v>
      </c>
      <c r="G191" s="1" t="s">
        <v>13</v>
      </c>
      <c r="H191" s="1" t="s">
        <v>18</v>
      </c>
      <c r="I191" s="2">
        <v>45679</v>
      </c>
    </row>
    <row r="192" spans="1:9" x14ac:dyDescent="0.35">
      <c r="A192" s="1" t="s">
        <v>218</v>
      </c>
      <c r="B192" s="1" t="s">
        <v>20</v>
      </c>
      <c r="C192" s="1" t="s">
        <v>17</v>
      </c>
      <c r="D192" s="1" t="s">
        <v>12</v>
      </c>
      <c r="E192">
        <v>836</v>
      </c>
      <c r="F192">
        <v>351</v>
      </c>
      <c r="G192" s="1" t="s">
        <v>13</v>
      </c>
      <c r="H192" s="1" t="s">
        <v>23</v>
      </c>
      <c r="I192" s="2">
        <v>45668</v>
      </c>
    </row>
    <row r="193" spans="1:9" x14ac:dyDescent="0.35">
      <c r="A193" s="1" t="s">
        <v>219</v>
      </c>
      <c r="B193" s="1" t="s">
        <v>48</v>
      </c>
      <c r="C193" s="1" t="s">
        <v>25</v>
      </c>
      <c r="D193" s="1" t="s">
        <v>12</v>
      </c>
      <c r="E193">
        <v>434</v>
      </c>
      <c r="F193">
        <v>70</v>
      </c>
      <c r="G193" s="1" t="s">
        <v>13</v>
      </c>
      <c r="H193" s="1" t="s">
        <v>33</v>
      </c>
      <c r="I193" s="2">
        <v>45740</v>
      </c>
    </row>
    <row r="194" spans="1:9" x14ac:dyDescent="0.35">
      <c r="A194" s="1" t="s">
        <v>220</v>
      </c>
      <c r="B194" s="1" t="s">
        <v>37</v>
      </c>
      <c r="C194" s="1" t="s">
        <v>17</v>
      </c>
      <c r="D194" s="1" t="s">
        <v>12</v>
      </c>
      <c r="E194">
        <v>865</v>
      </c>
      <c r="F194">
        <v>156</v>
      </c>
      <c r="G194" s="1" t="s">
        <v>13</v>
      </c>
      <c r="H194" s="1" t="s">
        <v>33</v>
      </c>
      <c r="I194" s="2">
        <v>45683</v>
      </c>
    </row>
    <row r="195" spans="1:9" x14ac:dyDescent="0.35">
      <c r="A195" s="1" t="s">
        <v>221</v>
      </c>
      <c r="B195" s="1" t="s">
        <v>16</v>
      </c>
      <c r="C195" s="1" t="s">
        <v>17</v>
      </c>
      <c r="D195" s="1" t="s">
        <v>51</v>
      </c>
      <c r="E195">
        <v>1849</v>
      </c>
      <c r="F195">
        <v>385</v>
      </c>
      <c r="G195" s="1" t="s">
        <v>13</v>
      </c>
      <c r="H195" s="1" t="s">
        <v>23</v>
      </c>
      <c r="I195" s="2">
        <v>45667</v>
      </c>
    </row>
    <row r="196" spans="1:9" x14ac:dyDescent="0.35">
      <c r="A196" s="1" t="s">
        <v>222</v>
      </c>
      <c r="B196" s="1" t="s">
        <v>48</v>
      </c>
      <c r="C196" s="1" t="s">
        <v>11</v>
      </c>
      <c r="D196" s="1" t="s">
        <v>12</v>
      </c>
      <c r="E196">
        <v>912</v>
      </c>
      <c r="F196">
        <v>352</v>
      </c>
      <c r="G196" s="1" t="s">
        <v>13</v>
      </c>
      <c r="H196" s="1" t="s">
        <v>42</v>
      </c>
      <c r="I196" s="2">
        <v>45682</v>
      </c>
    </row>
    <row r="197" spans="1:9" x14ac:dyDescent="0.35">
      <c r="A197" s="1" t="s">
        <v>223</v>
      </c>
      <c r="B197" s="1" t="s">
        <v>20</v>
      </c>
      <c r="C197" s="1" t="s">
        <v>11</v>
      </c>
      <c r="D197" s="1" t="s">
        <v>12</v>
      </c>
      <c r="E197">
        <v>1400</v>
      </c>
      <c r="F197">
        <v>166</v>
      </c>
      <c r="G197" s="1" t="s">
        <v>13</v>
      </c>
      <c r="H197" s="1" t="s">
        <v>33</v>
      </c>
      <c r="I197" s="2">
        <v>45706</v>
      </c>
    </row>
    <row r="198" spans="1:9" x14ac:dyDescent="0.35">
      <c r="A198" s="1" t="s">
        <v>224</v>
      </c>
      <c r="B198" s="1" t="s">
        <v>27</v>
      </c>
      <c r="C198" s="1" t="s">
        <v>11</v>
      </c>
      <c r="D198" s="1" t="s">
        <v>12</v>
      </c>
      <c r="E198">
        <v>1097</v>
      </c>
      <c r="F198">
        <v>173</v>
      </c>
      <c r="G198" s="1" t="s">
        <v>13</v>
      </c>
      <c r="H198" s="1" t="s">
        <v>14</v>
      </c>
      <c r="I198" s="2">
        <v>45736</v>
      </c>
    </row>
    <row r="199" spans="1:9" x14ac:dyDescent="0.35">
      <c r="A199" s="1" t="s">
        <v>225</v>
      </c>
      <c r="B199" s="1" t="s">
        <v>10</v>
      </c>
      <c r="C199" s="1" t="s">
        <v>17</v>
      </c>
      <c r="D199" s="1" t="s">
        <v>51</v>
      </c>
      <c r="E199">
        <v>530</v>
      </c>
      <c r="F199">
        <v>330</v>
      </c>
      <c r="G199" s="1" t="s">
        <v>13</v>
      </c>
      <c r="H199" s="1" t="s">
        <v>23</v>
      </c>
      <c r="I199" s="2">
        <v>45722</v>
      </c>
    </row>
    <row r="200" spans="1:9" x14ac:dyDescent="0.35">
      <c r="A200" s="1" t="s">
        <v>226</v>
      </c>
      <c r="B200" s="1" t="s">
        <v>20</v>
      </c>
      <c r="C200" s="1" t="s">
        <v>25</v>
      </c>
      <c r="D200" s="1" t="s">
        <v>12</v>
      </c>
      <c r="E200">
        <v>609</v>
      </c>
      <c r="F200">
        <v>341</v>
      </c>
      <c r="G200" s="1" t="s">
        <v>13</v>
      </c>
      <c r="H200" s="1" t="s">
        <v>23</v>
      </c>
      <c r="I200" s="2">
        <v>45776</v>
      </c>
    </row>
    <row r="201" spans="1:9" x14ac:dyDescent="0.35">
      <c r="A201" s="1" t="s">
        <v>227</v>
      </c>
      <c r="B201" s="1" t="s">
        <v>37</v>
      </c>
      <c r="C201" s="1" t="s">
        <v>32</v>
      </c>
      <c r="D201" s="1" t="s">
        <v>12</v>
      </c>
      <c r="E201">
        <v>1180</v>
      </c>
      <c r="F201">
        <v>252</v>
      </c>
      <c r="G201" s="1" t="s">
        <v>13</v>
      </c>
      <c r="H201" s="1" t="s">
        <v>33</v>
      </c>
      <c r="I201" s="2">
        <v>45773</v>
      </c>
    </row>
    <row r="202" spans="1:9" x14ac:dyDescent="0.35">
      <c r="A202" s="1" t="s">
        <v>228</v>
      </c>
      <c r="B202" s="1" t="s">
        <v>48</v>
      </c>
      <c r="C202" s="1" t="s">
        <v>32</v>
      </c>
      <c r="D202" s="1" t="s">
        <v>12</v>
      </c>
      <c r="E202">
        <v>178</v>
      </c>
      <c r="F202">
        <v>100</v>
      </c>
      <c r="G202" s="1" t="s">
        <v>13</v>
      </c>
      <c r="H202" s="1" t="s">
        <v>42</v>
      </c>
      <c r="I202" s="2">
        <v>45744</v>
      </c>
    </row>
    <row r="203" spans="1:9" x14ac:dyDescent="0.35">
      <c r="A203" s="1" t="s">
        <v>229</v>
      </c>
      <c r="B203" s="1" t="s">
        <v>10</v>
      </c>
      <c r="C203" s="1" t="s">
        <v>11</v>
      </c>
      <c r="D203" s="1" t="s">
        <v>12</v>
      </c>
      <c r="E203">
        <v>1056</v>
      </c>
      <c r="F203">
        <v>320</v>
      </c>
      <c r="G203" s="1" t="s">
        <v>13</v>
      </c>
      <c r="H203" s="1" t="s">
        <v>14</v>
      </c>
      <c r="I203" s="2">
        <v>45716</v>
      </c>
    </row>
    <row r="204" spans="1:9" x14ac:dyDescent="0.35">
      <c r="A204" s="1" t="s">
        <v>230</v>
      </c>
      <c r="B204" s="1" t="s">
        <v>48</v>
      </c>
      <c r="C204" s="1" t="s">
        <v>11</v>
      </c>
      <c r="D204" s="1" t="s">
        <v>12</v>
      </c>
      <c r="E204">
        <v>1206</v>
      </c>
      <c r="F204">
        <v>373</v>
      </c>
      <c r="G204" s="1" t="s">
        <v>13</v>
      </c>
      <c r="H204" s="1" t="s">
        <v>42</v>
      </c>
      <c r="I204" s="2">
        <v>45736</v>
      </c>
    </row>
    <row r="205" spans="1:9" x14ac:dyDescent="0.35">
      <c r="A205" s="1" t="s">
        <v>231</v>
      </c>
      <c r="B205" s="1" t="s">
        <v>37</v>
      </c>
      <c r="C205" s="1" t="s">
        <v>17</v>
      </c>
      <c r="D205" s="1" t="s">
        <v>21</v>
      </c>
      <c r="E205">
        <v>1819</v>
      </c>
      <c r="F205">
        <v>326</v>
      </c>
      <c r="G205" s="1" t="s">
        <v>13</v>
      </c>
      <c r="H205" s="1" t="s">
        <v>18</v>
      </c>
      <c r="I205" s="2">
        <v>45729</v>
      </c>
    </row>
    <row r="206" spans="1:9" x14ac:dyDescent="0.35">
      <c r="A206" s="1" t="s">
        <v>232</v>
      </c>
      <c r="B206" s="1" t="s">
        <v>48</v>
      </c>
      <c r="C206" s="1" t="s">
        <v>32</v>
      </c>
      <c r="D206" s="1" t="s">
        <v>51</v>
      </c>
      <c r="E206">
        <v>1028</v>
      </c>
      <c r="F206">
        <v>190</v>
      </c>
      <c r="G206" s="1" t="s">
        <v>13</v>
      </c>
      <c r="H206" s="1" t="s">
        <v>18</v>
      </c>
      <c r="I206" s="2">
        <v>45724</v>
      </c>
    </row>
    <row r="207" spans="1:9" x14ac:dyDescent="0.35">
      <c r="A207" s="1" t="s">
        <v>233</v>
      </c>
      <c r="B207" s="1" t="s">
        <v>27</v>
      </c>
      <c r="C207" s="1" t="s">
        <v>11</v>
      </c>
      <c r="D207" s="1" t="s">
        <v>12</v>
      </c>
      <c r="E207">
        <v>228</v>
      </c>
      <c r="F207">
        <v>324</v>
      </c>
      <c r="G207" s="1" t="s">
        <v>13</v>
      </c>
      <c r="H207" s="1" t="s">
        <v>33</v>
      </c>
      <c r="I207" s="2">
        <v>45752</v>
      </c>
    </row>
    <row r="208" spans="1:9" x14ac:dyDescent="0.35">
      <c r="A208" s="1" t="s">
        <v>234</v>
      </c>
      <c r="B208" s="1" t="s">
        <v>10</v>
      </c>
      <c r="C208" s="1" t="s">
        <v>25</v>
      </c>
      <c r="D208" s="1" t="s">
        <v>12</v>
      </c>
      <c r="E208">
        <v>1096</v>
      </c>
      <c r="F208">
        <v>339</v>
      </c>
      <c r="G208" s="1" t="s">
        <v>13</v>
      </c>
      <c r="H208" s="1" t="s">
        <v>33</v>
      </c>
      <c r="I208" s="2">
        <v>45689</v>
      </c>
    </row>
    <row r="209" spans="1:9" x14ac:dyDescent="0.35">
      <c r="A209" s="1" t="s">
        <v>235</v>
      </c>
      <c r="B209" s="1" t="s">
        <v>10</v>
      </c>
      <c r="C209" s="1" t="s">
        <v>25</v>
      </c>
      <c r="D209" s="1" t="s">
        <v>51</v>
      </c>
      <c r="E209">
        <v>608</v>
      </c>
      <c r="F209">
        <v>383</v>
      </c>
      <c r="G209" s="1" t="s">
        <v>13</v>
      </c>
      <c r="H209" s="1" t="s">
        <v>33</v>
      </c>
      <c r="I209" s="2">
        <v>45675</v>
      </c>
    </row>
    <row r="210" spans="1:9" x14ac:dyDescent="0.35">
      <c r="A210" s="1" t="s">
        <v>236</v>
      </c>
      <c r="B210" s="1" t="s">
        <v>37</v>
      </c>
      <c r="C210" s="1" t="s">
        <v>11</v>
      </c>
      <c r="D210" s="1" t="s">
        <v>21</v>
      </c>
      <c r="E210">
        <v>719</v>
      </c>
      <c r="F210">
        <v>101</v>
      </c>
      <c r="G210" s="1" t="s">
        <v>13</v>
      </c>
      <c r="H210" s="1" t="s">
        <v>18</v>
      </c>
      <c r="I210" s="2">
        <v>45687</v>
      </c>
    </row>
    <row r="211" spans="1:9" x14ac:dyDescent="0.35">
      <c r="A211" s="1" t="s">
        <v>237</v>
      </c>
      <c r="B211" s="1" t="s">
        <v>27</v>
      </c>
      <c r="C211" s="1" t="s">
        <v>11</v>
      </c>
      <c r="D211" s="1" t="s">
        <v>12</v>
      </c>
      <c r="E211">
        <v>1711</v>
      </c>
      <c r="F211">
        <v>76</v>
      </c>
      <c r="G211" s="1" t="s">
        <v>13</v>
      </c>
      <c r="H211" s="1" t="s">
        <v>42</v>
      </c>
      <c r="I211" s="2">
        <v>45739</v>
      </c>
    </row>
    <row r="212" spans="1:9" x14ac:dyDescent="0.35">
      <c r="A212" s="1" t="s">
        <v>238</v>
      </c>
      <c r="B212" s="1" t="s">
        <v>20</v>
      </c>
      <c r="C212" s="1" t="s">
        <v>32</v>
      </c>
      <c r="D212" s="1" t="s">
        <v>12</v>
      </c>
      <c r="E212">
        <v>1655</v>
      </c>
      <c r="F212">
        <v>206</v>
      </c>
      <c r="G212" s="1" t="s">
        <v>13</v>
      </c>
      <c r="H212" s="1" t="s">
        <v>42</v>
      </c>
      <c r="I212" s="2">
        <v>45658</v>
      </c>
    </row>
    <row r="213" spans="1:9" x14ac:dyDescent="0.35">
      <c r="A213" s="1" t="s">
        <v>239</v>
      </c>
      <c r="B213" s="1" t="s">
        <v>48</v>
      </c>
      <c r="C213" s="1" t="s">
        <v>32</v>
      </c>
      <c r="D213" s="1" t="s">
        <v>12</v>
      </c>
      <c r="E213">
        <v>1603</v>
      </c>
      <c r="F213">
        <v>288</v>
      </c>
      <c r="G213" s="1" t="s">
        <v>13</v>
      </c>
      <c r="H213" s="1" t="s">
        <v>33</v>
      </c>
      <c r="I213" s="2">
        <v>45743</v>
      </c>
    </row>
    <row r="214" spans="1:9" x14ac:dyDescent="0.35">
      <c r="A214" s="1" t="s">
        <v>240</v>
      </c>
      <c r="B214" s="1" t="s">
        <v>16</v>
      </c>
      <c r="C214" s="1" t="s">
        <v>17</v>
      </c>
      <c r="D214" s="1" t="s">
        <v>12</v>
      </c>
      <c r="E214">
        <v>887</v>
      </c>
      <c r="F214">
        <v>205</v>
      </c>
      <c r="G214" s="1" t="s">
        <v>13</v>
      </c>
      <c r="H214" s="1" t="s">
        <v>14</v>
      </c>
      <c r="I214" s="2">
        <v>45658</v>
      </c>
    </row>
    <row r="215" spans="1:9" x14ac:dyDescent="0.35">
      <c r="A215" s="1" t="s">
        <v>241</v>
      </c>
      <c r="B215" s="1" t="s">
        <v>48</v>
      </c>
      <c r="C215" s="1" t="s">
        <v>32</v>
      </c>
      <c r="D215" s="1" t="s">
        <v>21</v>
      </c>
      <c r="E215">
        <v>1458</v>
      </c>
      <c r="F215">
        <v>340</v>
      </c>
      <c r="G215" s="1" t="s">
        <v>13</v>
      </c>
      <c r="H215" s="1" t="s">
        <v>42</v>
      </c>
      <c r="I215" s="2">
        <v>45701</v>
      </c>
    </row>
    <row r="216" spans="1:9" x14ac:dyDescent="0.35">
      <c r="A216" s="1" t="s">
        <v>242</v>
      </c>
      <c r="B216" s="1" t="s">
        <v>48</v>
      </c>
      <c r="C216" s="1" t="s">
        <v>25</v>
      </c>
      <c r="D216" s="1" t="s">
        <v>51</v>
      </c>
      <c r="E216">
        <v>665</v>
      </c>
      <c r="F216">
        <v>185</v>
      </c>
      <c r="G216" s="1" t="s">
        <v>13</v>
      </c>
      <c r="H216" s="1" t="s">
        <v>18</v>
      </c>
      <c r="I216" s="2">
        <v>45749</v>
      </c>
    </row>
    <row r="217" spans="1:9" x14ac:dyDescent="0.35">
      <c r="A217" s="1" t="s">
        <v>243</v>
      </c>
      <c r="B217" s="1" t="s">
        <v>20</v>
      </c>
      <c r="C217" s="1" t="s">
        <v>25</v>
      </c>
      <c r="D217" s="1" t="s">
        <v>51</v>
      </c>
      <c r="E217">
        <v>1272</v>
      </c>
      <c r="F217">
        <v>193</v>
      </c>
      <c r="G217" s="1" t="s">
        <v>13</v>
      </c>
      <c r="H217" s="1" t="s">
        <v>23</v>
      </c>
      <c r="I217" s="2">
        <v>45664</v>
      </c>
    </row>
    <row r="218" spans="1:9" x14ac:dyDescent="0.35">
      <c r="A218" s="1" t="s">
        <v>244</v>
      </c>
      <c r="B218" s="1" t="s">
        <v>48</v>
      </c>
      <c r="C218" s="1" t="s">
        <v>11</v>
      </c>
      <c r="D218" s="1" t="s">
        <v>12</v>
      </c>
      <c r="E218">
        <v>546</v>
      </c>
      <c r="F218">
        <v>155</v>
      </c>
      <c r="G218" s="1" t="s">
        <v>13</v>
      </c>
      <c r="H218" s="1" t="s">
        <v>23</v>
      </c>
      <c r="I218" s="2">
        <v>45765</v>
      </c>
    </row>
    <row r="219" spans="1:9" x14ac:dyDescent="0.35">
      <c r="A219" s="1" t="s">
        <v>245</v>
      </c>
      <c r="B219" s="1" t="s">
        <v>27</v>
      </c>
      <c r="C219" s="1" t="s">
        <v>32</v>
      </c>
      <c r="D219" s="1" t="s">
        <v>12</v>
      </c>
      <c r="E219">
        <v>1662</v>
      </c>
      <c r="F219">
        <v>207</v>
      </c>
      <c r="G219" s="1" t="s">
        <v>13</v>
      </c>
      <c r="H219" s="1" t="s">
        <v>23</v>
      </c>
      <c r="I219" s="2">
        <v>45744</v>
      </c>
    </row>
    <row r="220" spans="1:9" x14ac:dyDescent="0.35">
      <c r="A220" s="1" t="s">
        <v>246</v>
      </c>
      <c r="B220" s="1" t="s">
        <v>27</v>
      </c>
      <c r="C220" s="1" t="s">
        <v>17</v>
      </c>
      <c r="D220" s="1" t="s">
        <v>51</v>
      </c>
      <c r="E220">
        <v>188</v>
      </c>
      <c r="F220">
        <v>195</v>
      </c>
      <c r="G220" s="1" t="s">
        <v>13</v>
      </c>
      <c r="H220" s="1" t="s">
        <v>14</v>
      </c>
      <c r="I220" s="2">
        <v>45663</v>
      </c>
    </row>
    <row r="221" spans="1:9" x14ac:dyDescent="0.35">
      <c r="A221" s="1" t="s">
        <v>247</v>
      </c>
      <c r="B221" s="1" t="s">
        <v>10</v>
      </c>
      <c r="C221" s="1" t="s">
        <v>25</v>
      </c>
      <c r="D221" s="1" t="s">
        <v>21</v>
      </c>
      <c r="E221">
        <v>1444</v>
      </c>
      <c r="F221">
        <v>51</v>
      </c>
      <c r="G221" s="1" t="s">
        <v>13</v>
      </c>
      <c r="H221" s="1" t="s">
        <v>33</v>
      </c>
      <c r="I221" s="2">
        <v>45667</v>
      </c>
    </row>
    <row r="222" spans="1:9" x14ac:dyDescent="0.35">
      <c r="A222" s="1" t="s">
        <v>248</v>
      </c>
      <c r="B222" s="1" t="s">
        <v>37</v>
      </c>
      <c r="C222" s="1" t="s">
        <v>25</v>
      </c>
      <c r="D222" s="1" t="s">
        <v>12</v>
      </c>
      <c r="E222">
        <v>1036</v>
      </c>
      <c r="F222">
        <v>126</v>
      </c>
      <c r="G222" s="1" t="s">
        <v>13</v>
      </c>
      <c r="H222" s="1" t="s">
        <v>18</v>
      </c>
      <c r="I222" s="2">
        <v>45732</v>
      </c>
    </row>
    <row r="223" spans="1:9" x14ac:dyDescent="0.35">
      <c r="A223" s="1" t="s">
        <v>249</v>
      </c>
      <c r="B223" s="1" t="s">
        <v>16</v>
      </c>
      <c r="C223" s="1" t="s">
        <v>17</v>
      </c>
      <c r="D223" s="1" t="s">
        <v>51</v>
      </c>
      <c r="E223">
        <v>946</v>
      </c>
      <c r="F223">
        <v>181</v>
      </c>
      <c r="G223" s="1" t="s">
        <v>13</v>
      </c>
      <c r="H223" s="1" t="s">
        <v>14</v>
      </c>
      <c r="I223" s="2">
        <v>45683</v>
      </c>
    </row>
    <row r="224" spans="1:9" x14ac:dyDescent="0.35">
      <c r="A224" s="1" t="s">
        <v>250</v>
      </c>
      <c r="B224" s="1" t="s">
        <v>48</v>
      </c>
      <c r="C224" s="1" t="s">
        <v>17</v>
      </c>
      <c r="D224" s="1" t="s">
        <v>21</v>
      </c>
      <c r="E224">
        <v>306</v>
      </c>
      <c r="F224">
        <v>139</v>
      </c>
      <c r="G224" s="1" t="s">
        <v>13</v>
      </c>
      <c r="H224" s="1" t="s">
        <v>18</v>
      </c>
      <c r="I224" s="2">
        <v>45679</v>
      </c>
    </row>
    <row r="225" spans="1:9" x14ac:dyDescent="0.35">
      <c r="A225" s="1" t="s">
        <v>251</v>
      </c>
      <c r="B225" s="1" t="s">
        <v>48</v>
      </c>
      <c r="C225" s="1" t="s">
        <v>25</v>
      </c>
      <c r="D225" s="1" t="s">
        <v>12</v>
      </c>
      <c r="E225">
        <v>1248</v>
      </c>
      <c r="F225">
        <v>394</v>
      </c>
      <c r="G225" s="1" t="s">
        <v>13</v>
      </c>
      <c r="H225" s="1" t="s">
        <v>18</v>
      </c>
      <c r="I225" s="2">
        <v>45764</v>
      </c>
    </row>
    <row r="226" spans="1:9" x14ac:dyDescent="0.35">
      <c r="A226" s="1" t="s">
        <v>252</v>
      </c>
      <c r="B226" s="1" t="s">
        <v>20</v>
      </c>
      <c r="C226" s="1" t="s">
        <v>25</v>
      </c>
      <c r="D226" s="1" t="s">
        <v>12</v>
      </c>
      <c r="E226">
        <v>1033</v>
      </c>
      <c r="F226">
        <v>399</v>
      </c>
      <c r="G226" s="1" t="s">
        <v>13</v>
      </c>
      <c r="H226" s="1" t="s">
        <v>33</v>
      </c>
      <c r="I226" s="2">
        <v>45708</v>
      </c>
    </row>
    <row r="227" spans="1:9" x14ac:dyDescent="0.35">
      <c r="A227" s="1" t="s">
        <v>253</v>
      </c>
      <c r="B227" s="1" t="s">
        <v>37</v>
      </c>
      <c r="C227" s="1" t="s">
        <v>17</v>
      </c>
      <c r="D227" s="1" t="s">
        <v>12</v>
      </c>
      <c r="E227">
        <v>1973</v>
      </c>
      <c r="F227">
        <v>312</v>
      </c>
      <c r="G227" s="1" t="s">
        <v>13</v>
      </c>
      <c r="H227" s="1" t="s">
        <v>23</v>
      </c>
      <c r="I227" s="2">
        <v>45768</v>
      </c>
    </row>
    <row r="228" spans="1:9" x14ac:dyDescent="0.35">
      <c r="A228" s="1" t="s">
        <v>254</v>
      </c>
      <c r="B228" s="1" t="s">
        <v>27</v>
      </c>
      <c r="C228" s="1" t="s">
        <v>25</v>
      </c>
      <c r="D228" s="1" t="s">
        <v>12</v>
      </c>
      <c r="E228">
        <v>1303</v>
      </c>
      <c r="F228">
        <v>157</v>
      </c>
      <c r="G228" s="1" t="s">
        <v>13</v>
      </c>
      <c r="H228" s="1" t="s">
        <v>33</v>
      </c>
      <c r="I228" s="2">
        <v>45670</v>
      </c>
    </row>
    <row r="229" spans="1:9" x14ac:dyDescent="0.35">
      <c r="A229" s="1" t="s">
        <v>255</v>
      </c>
      <c r="B229" s="1" t="s">
        <v>16</v>
      </c>
      <c r="C229" s="1" t="s">
        <v>11</v>
      </c>
      <c r="D229" s="1" t="s">
        <v>12</v>
      </c>
      <c r="E229">
        <v>1860</v>
      </c>
      <c r="F229">
        <v>123</v>
      </c>
      <c r="G229" s="1" t="s">
        <v>13</v>
      </c>
      <c r="H229" s="1" t="s">
        <v>14</v>
      </c>
      <c r="I229" s="2">
        <v>45751</v>
      </c>
    </row>
    <row r="230" spans="1:9" x14ac:dyDescent="0.35">
      <c r="A230" s="1" t="s">
        <v>256</v>
      </c>
      <c r="B230" s="1" t="s">
        <v>10</v>
      </c>
      <c r="C230" s="1" t="s">
        <v>11</v>
      </c>
      <c r="D230" s="1" t="s">
        <v>21</v>
      </c>
      <c r="E230">
        <v>1123</v>
      </c>
      <c r="F230">
        <v>88</v>
      </c>
      <c r="G230" s="1" t="s">
        <v>13</v>
      </c>
      <c r="H230" s="1" t="s">
        <v>14</v>
      </c>
      <c r="I230" s="2">
        <v>45775</v>
      </c>
    </row>
    <row r="231" spans="1:9" x14ac:dyDescent="0.35">
      <c r="A231" s="1" t="s">
        <v>257</v>
      </c>
      <c r="B231" s="1" t="s">
        <v>27</v>
      </c>
      <c r="C231" s="1" t="s">
        <v>17</v>
      </c>
      <c r="D231" s="1" t="s">
        <v>12</v>
      </c>
      <c r="E231">
        <v>1257</v>
      </c>
      <c r="F231">
        <v>208</v>
      </c>
      <c r="G231" s="1" t="s">
        <v>13</v>
      </c>
      <c r="H231" s="1" t="s">
        <v>14</v>
      </c>
      <c r="I231" s="2">
        <v>45763</v>
      </c>
    </row>
    <row r="232" spans="1:9" x14ac:dyDescent="0.35">
      <c r="A232" s="1" t="s">
        <v>258</v>
      </c>
      <c r="B232" s="1" t="s">
        <v>37</v>
      </c>
      <c r="C232" s="1" t="s">
        <v>32</v>
      </c>
      <c r="D232" s="1" t="s">
        <v>12</v>
      </c>
      <c r="E232">
        <v>1195</v>
      </c>
      <c r="F232">
        <v>120</v>
      </c>
      <c r="G232" s="1" t="s">
        <v>13</v>
      </c>
      <c r="H232" s="1" t="s">
        <v>33</v>
      </c>
      <c r="I232" s="2">
        <v>45708</v>
      </c>
    </row>
    <row r="233" spans="1:9" x14ac:dyDescent="0.35">
      <c r="A233" s="1" t="s">
        <v>259</v>
      </c>
      <c r="B233" s="1" t="s">
        <v>10</v>
      </c>
      <c r="C233" s="1" t="s">
        <v>17</v>
      </c>
      <c r="D233" s="1" t="s">
        <v>12</v>
      </c>
      <c r="E233">
        <v>1632</v>
      </c>
      <c r="F233">
        <v>361</v>
      </c>
      <c r="G233" s="1" t="s">
        <v>13</v>
      </c>
      <c r="H233" s="1" t="s">
        <v>18</v>
      </c>
      <c r="I233" s="2">
        <v>45775</v>
      </c>
    </row>
    <row r="234" spans="1:9" x14ac:dyDescent="0.35">
      <c r="A234" s="1" t="s">
        <v>260</v>
      </c>
      <c r="B234" s="1" t="s">
        <v>20</v>
      </c>
      <c r="C234" s="1" t="s">
        <v>17</v>
      </c>
      <c r="D234" s="1" t="s">
        <v>12</v>
      </c>
      <c r="E234">
        <v>1712</v>
      </c>
      <c r="F234">
        <v>290</v>
      </c>
      <c r="G234" s="1" t="s">
        <v>13</v>
      </c>
      <c r="H234" s="1" t="s">
        <v>18</v>
      </c>
      <c r="I234" s="2">
        <v>45702</v>
      </c>
    </row>
    <row r="235" spans="1:9" x14ac:dyDescent="0.35">
      <c r="A235" s="1" t="s">
        <v>261</v>
      </c>
      <c r="B235" s="1" t="s">
        <v>20</v>
      </c>
      <c r="C235" s="1" t="s">
        <v>32</v>
      </c>
      <c r="D235" s="1" t="s">
        <v>51</v>
      </c>
      <c r="E235">
        <v>1880</v>
      </c>
      <c r="F235">
        <v>347</v>
      </c>
      <c r="G235" s="1" t="s">
        <v>13</v>
      </c>
      <c r="H235" s="1" t="s">
        <v>42</v>
      </c>
      <c r="I235" s="2">
        <v>45709</v>
      </c>
    </row>
    <row r="236" spans="1:9" x14ac:dyDescent="0.35">
      <c r="A236" s="1" t="s">
        <v>262</v>
      </c>
      <c r="B236" s="1" t="s">
        <v>48</v>
      </c>
      <c r="C236" s="1" t="s">
        <v>32</v>
      </c>
      <c r="D236" s="1" t="s">
        <v>12</v>
      </c>
      <c r="E236">
        <v>998</v>
      </c>
      <c r="F236">
        <v>85</v>
      </c>
      <c r="G236" s="1" t="s">
        <v>13</v>
      </c>
      <c r="H236" s="1" t="s">
        <v>14</v>
      </c>
      <c r="I236" s="2">
        <v>45666</v>
      </c>
    </row>
    <row r="237" spans="1:9" x14ac:dyDescent="0.35">
      <c r="A237" s="1" t="s">
        <v>263</v>
      </c>
      <c r="B237" s="1" t="s">
        <v>37</v>
      </c>
      <c r="C237" s="1" t="s">
        <v>32</v>
      </c>
      <c r="D237" s="1" t="s">
        <v>12</v>
      </c>
      <c r="E237">
        <v>1555</v>
      </c>
      <c r="F237">
        <v>133</v>
      </c>
      <c r="G237" s="1" t="s">
        <v>13</v>
      </c>
      <c r="H237" s="1" t="s">
        <v>18</v>
      </c>
      <c r="I237" s="2">
        <v>45773</v>
      </c>
    </row>
    <row r="238" spans="1:9" x14ac:dyDescent="0.35">
      <c r="A238" s="1" t="s">
        <v>264</v>
      </c>
      <c r="B238" s="1" t="s">
        <v>16</v>
      </c>
      <c r="C238" s="1" t="s">
        <v>11</v>
      </c>
      <c r="D238" s="1" t="s">
        <v>21</v>
      </c>
      <c r="E238">
        <v>897</v>
      </c>
      <c r="F238">
        <v>312</v>
      </c>
      <c r="G238" s="1" t="s">
        <v>13</v>
      </c>
      <c r="H238" s="1" t="s">
        <v>42</v>
      </c>
      <c r="I238" s="2">
        <v>45708</v>
      </c>
    </row>
    <row r="239" spans="1:9" x14ac:dyDescent="0.35">
      <c r="A239" s="1" t="s">
        <v>265</v>
      </c>
      <c r="B239" s="1" t="s">
        <v>10</v>
      </c>
      <c r="C239" s="1" t="s">
        <v>25</v>
      </c>
      <c r="D239" s="1" t="s">
        <v>12</v>
      </c>
      <c r="E239">
        <v>1613</v>
      </c>
      <c r="F239">
        <v>359</v>
      </c>
      <c r="G239" s="1" t="s">
        <v>13</v>
      </c>
      <c r="H239" s="1" t="s">
        <v>18</v>
      </c>
      <c r="I239" s="2">
        <v>45733</v>
      </c>
    </row>
    <row r="240" spans="1:9" x14ac:dyDescent="0.35">
      <c r="A240" s="1" t="s">
        <v>266</v>
      </c>
      <c r="B240" s="1" t="s">
        <v>27</v>
      </c>
      <c r="C240" s="1" t="s">
        <v>11</v>
      </c>
      <c r="D240" s="1" t="s">
        <v>12</v>
      </c>
      <c r="E240">
        <v>1777</v>
      </c>
      <c r="F240">
        <v>221</v>
      </c>
      <c r="G240" s="1" t="s">
        <v>13</v>
      </c>
      <c r="H240" s="1" t="s">
        <v>14</v>
      </c>
      <c r="I240" s="2">
        <v>45683</v>
      </c>
    </row>
    <row r="241" spans="1:9" x14ac:dyDescent="0.35">
      <c r="A241" s="1" t="s">
        <v>267</v>
      </c>
      <c r="B241" s="1" t="s">
        <v>37</v>
      </c>
      <c r="C241" s="1" t="s">
        <v>25</v>
      </c>
      <c r="D241" s="1" t="s">
        <v>12</v>
      </c>
      <c r="E241">
        <v>1138</v>
      </c>
      <c r="F241">
        <v>222</v>
      </c>
      <c r="G241" s="1" t="s">
        <v>13</v>
      </c>
      <c r="H241" s="1" t="s">
        <v>23</v>
      </c>
      <c r="I241" s="2">
        <v>45777</v>
      </c>
    </row>
    <row r="242" spans="1:9" x14ac:dyDescent="0.35">
      <c r="A242" s="1" t="s">
        <v>268</v>
      </c>
      <c r="B242" s="1" t="s">
        <v>37</v>
      </c>
      <c r="C242" s="1" t="s">
        <v>11</v>
      </c>
      <c r="D242" s="1" t="s">
        <v>12</v>
      </c>
      <c r="E242">
        <v>170</v>
      </c>
      <c r="F242">
        <v>96</v>
      </c>
      <c r="G242" s="1" t="s">
        <v>13</v>
      </c>
      <c r="H242" s="1" t="s">
        <v>14</v>
      </c>
      <c r="I242" s="2">
        <v>45750</v>
      </c>
    </row>
    <row r="243" spans="1:9" x14ac:dyDescent="0.35">
      <c r="A243" s="1" t="s">
        <v>269</v>
      </c>
      <c r="B243" s="1" t="s">
        <v>20</v>
      </c>
      <c r="C243" s="1" t="s">
        <v>25</v>
      </c>
      <c r="D243" s="1" t="s">
        <v>12</v>
      </c>
      <c r="E243">
        <v>452</v>
      </c>
      <c r="F243">
        <v>190</v>
      </c>
      <c r="G243" s="1" t="s">
        <v>13</v>
      </c>
      <c r="H243" s="1" t="s">
        <v>33</v>
      </c>
      <c r="I243" s="2">
        <v>45713</v>
      </c>
    </row>
    <row r="244" spans="1:9" x14ac:dyDescent="0.35">
      <c r="A244" s="1" t="s">
        <v>270</v>
      </c>
      <c r="B244" s="1" t="s">
        <v>48</v>
      </c>
      <c r="C244" s="1" t="s">
        <v>11</v>
      </c>
      <c r="D244" s="1" t="s">
        <v>12</v>
      </c>
      <c r="E244">
        <v>1018</v>
      </c>
      <c r="F244">
        <v>167</v>
      </c>
      <c r="G244" s="1" t="s">
        <v>13</v>
      </c>
      <c r="H244" s="1" t="s">
        <v>18</v>
      </c>
      <c r="I244" s="2">
        <v>45664</v>
      </c>
    </row>
    <row r="245" spans="1:9" x14ac:dyDescent="0.35">
      <c r="A245" s="1" t="s">
        <v>271</v>
      </c>
      <c r="B245" s="1" t="s">
        <v>48</v>
      </c>
      <c r="C245" s="1" t="s">
        <v>32</v>
      </c>
      <c r="D245" s="1" t="s">
        <v>12</v>
      </c>
      <c r="E245">
        <v>233</v>
      </c>
      <c r="F245">
        <v>326</v>
      </c>
      <c r="G245" s="1" t="s">
        <v>13</v>
      </c>
      <c r="H245" s="1" t="s">
        <v>18</v>
      </c>
      <c r="I245" s="2">
        <v>45774</v>
      </c>
    </row>
    <row r="246" spans="1:9" x14ac:dyDescent="0.35">
      <c r="A246" s="1" t="s">
        <v>272</v>
      </c>
      <c r="B246" s="1" t="s">
        <v>10</v>
      </c>
      <c r="C246" s="1" t="s">
        <v>17</v>
      </c>
      <c r="D246" s="1" t="s">
        <v>51</v>
      </c>
      <c r="E246">
        <v>1947</v>
      </c>
      <c r="F246">
        <v>263</v>
      </c>
      <c r="G246" s="1" t="s">
        <v>13</v>
      </c>
      <c r="H246" s="1" t="s">
        <v>33</v>
      </c>
      <c r="I246" s="2">
        <v>45661</v>
      </c>
    </row>
    <row r="247" spans="1:9" x14ac:dyDescent="0.35">
      <c r="A247" s="1" t="s">
        <v>273</v>
      </c>
      <c r="B247" s="1" t="s">
        <v>20</v>
      </c>
      <c r="C247" s="1" t="s">
        <v>11</v>
      </c>
      <c r="D247" s="1" t="s">
        <v>12</v>
      </c>
      <c r="E247">
        <v>1832</v>
      </c>
      <c r="F247">
        <v>269</v>
      </c>
      <c r="G247" s="1" t="s">
        <v>13</v>
      </c>
      <c r="H247" s="1" t="s">
        <v>33</v>
      </c>
      <c r="I247" s="2">
        <v>45759</v>
      </c>
    </row>
    <row r="248" spans="1:9" x14ac:dyDescent="0.35">
      <c r="A248" s="1" t="s">
        <v>274</v>
      </c>
      <c r="B248" s="1" t="s">
        <v>37</v>
      </c>
      <c r="C248" s="1" t="s">
        <v>25</v>
      </c>
      <c r="D248" s="1" t="s">
        <v>12</v>
      </c>
      <c r="E248">
        <v>1626</v>
      </c>
      <c r="F248">
        <v>75</v>
      </c>
      <c r="G248" s="1" t="s">
        <v>13</v>
      </c>
      <c r="H248" s="1" t="s">
        <v>23</v>
      </c>
      <c r="I248" s="2">
        <v>45735</v>
      </c>
    </row>
    <row r="249" spans="1:9" x14ac:dyDescent="0.35">
      <c r="A249" s="1" t="s">
        <v>275</v>
      </c>
      <c r="B249" s="1" t="s">
        <v>16</v>
      </c>
      <c r="C249" s="1" t="s">
        <v>32</v>
      </c>
      <c r="D249" s="1" t="s">
        <v>12</v>
      </c>
      <c r="E249">
        <v>1560</v>
      </c>
      <c r="F249">
        <v>58</v>
      </c>
      <c r="G249" s="1" t="s">
        <v>13</v>
      </c>
      <c r="H249" s="1" t="s">
        <v>18</v>
      </c>
      <c r="I249" s="2">
        <v>45735</v>
      </c>
    </row>
    <row r="250" spans="1:9" x14ac:dyDescent="0.35">
      <c r="A250" s="1" t="s">
        <v>276</v>
      </c>
      <c r="B250" s="1" t="s">
        <v>20</v>
      </c>
      <c r="C250" s="1" t="s">
        <v>11</v>
      </c>
      <c r="D250" s="1" t="s">
        <v>12</v>
      </c>
      <c r="E250">
        <v>1680</v>
      </c>
      <c r="F250">
        <v>320</v>
      </c>
      <c r="G250" s="1" t="s">
        <v>13</v>
      </c>
      <c r="H250" s="1" t="s">
        <v>18</v>
      </c>
      <c r="I250" s="2">
        <v>45728</v>
      </c>
    </row>
    <row r="251" spans="1:9" x14ac:dyDescent="0.35">
      <c r="A251" s="1" t="s">
        <v>277</v>
      </c>
      <c r="B251" s="1" t="s">
        <v>10</v>
      </c>
      <c r="C251" s="1" t="s">
        <v>11</v>
      </c>
      <c r="D251" s="1" t="s">
        <v>12</v>
      </c>
      <c r="E251">
        <v>1430</v>
      </c>
      <c r="F251">
        <v>59</v>
      </c>
      <c r="G251" s="1" t="s">
        <v>13</v>
      </c>
      <c r="H251" s="1" t="s">
        <v>23</v>
      </c>
      <c r="I251" s="2">
        <v>45736</v>
      </c>
    </row>
    <row r="252" spans="1:9" x14ac:dyDescent="0.35">
      <c r="A252" s="1" t="s">
        <v>278</v>
      </c>
      <c r="B252" s="1" t="s">
        <v>10</v>
      </c>
      <c r="C252" s="1" t="s">
        <v>32</v>
      </c>
      <c r="D252" s="1" t="s">
        <v>12</v>
      </c>
      <c r="E252">
        <v>719</v>
      </c>
      <c r="F252">
        <v>170</v>
      </c>
      <c r="G252" s="1" t="s">
        <v>13</v>
      </c>
      <c r="H252" s="1" t="s">
        <v>42</v>
      </c>
      <c r="I252" s="2">
        <v>45737</v>
      </c>
    </row>
    <row r="253" spans="1:9" x14ac:dyDescent="0.35">
      <c r="A253" s="1" t="s">
        <v>279</v>
      </c>
      <c r="B253" s="1" t="s">
        <v>20</v>
      </c>
      <c r="C253" s="1" t="s">
        <v>11</v>
      </c>
      <c r="D253" s="1" t="s">
        <v>51</v>
      </c>
      <c r="E253">
        <v>1083</v>
      </c>
      <c r="F253">
        <v>174</v>
      </c>
      <c r="G253" s="1" t="s">
        <v>13</v>
      </c>
      <c r="H253" s="1" t="s">
        <v>23</v>
      </c>
      <c r="I253" s="2">
        <v>45709</v>
      </c>
    </row>
    <row r="254" spans="1:9" x14ac:dyDescent="0.35">
      <c r="A254" s="1" t="s">
        <v>280</v>
      </c>
      <c r="B254" s="1" t="s">
        <v>10</v>
      </c>
      <c r="C254" s="1" t="s">
        <v>17</v>
      </c>
      <c r="D254" s="1" t="s">
        <v>12</v>
      </c>
      <c r="E254">
        <v>1700</v>
      </c>
      <c r="F254">
        <v>219</v>
      </c>
      <c r="G254" s="1" t="s">
        <v>13</v>
      </c>
      <c r="H254" s="1" t="s">
        <v>14</v>
      </c>
      <c r="I254" s="2">
        <v>45722</v>
      </c>
    </row>
    <row r="255" spans="1:9" x14ac:dyDescent="0.35">
      <c r="A255" s="1" t="s">
        <v>281</v>
      </c>
      <c r="B255" s="1" t="s">
        <v>20</v>
      </c>
      <c r="C255" s="1" t="s">
        <v>11</v>
      </c>
      <c r="D255" s="1" t="s">
        <v>12</v>
      </c>
      <c r="E255">
        <v>1335</v>
      </c>
      <c r="F255">
        <v>121</v>
      </c>
      <c r="G255" s="1" t="s">
        <v>13</v>
      </c>
      <c r="H255" s="1" t="s">
        <v>18</v>
      </c>
      <c r="I255" s="2">
        <v>45744</v>
      </c>
    </row>
    <row r="256" spans="1:9" x14ac:dyDescent="0.35">
      <c r="A256" s="1" t="s">
        <v>282</v>
      </c>
      <c r="B256" s="1" t="s">
        <v>27</v>
      </c>
      <c r="C256" s="1" t="s">
        <v>17</v>
      </c>
      <c r="D256" s="1" t="s">
        <v>12</v>
      </c>
      <c r="E256">
        <v>1336</v>
      </c>
      <c r="F256">
        <v>201</v>
      </c>
      <c r="G256" s="1" t="s">
        <v>13</v>
      </c>
      <c r="H256" s="1" t="s">
        <v>33</v>
      </c>
      <c r="I256" s="2">
        <v>45674</v>
      </c>
    </row>
    <row r="257" spans="1:9" x14ac:dyDescent="0.35">
      <c r="A257" s="1" t="s">
        <v>283</v>
      </c>
      <c r="B257" s="1" t="s">
        <v>20</v>
      </c>
      <c r="C257" s="1" t="s">
        <v>17</v>
      </c>
      <c r="D257" s="1" t="s">
        <v>51</v>
      </c>
      <c r="E257">
        <v>1158</v>
      </c>
      <c r="F257">
        <v>257</v>
      </c>
      <c r="G257" s="1" t="s">
        <v>13</v>
      </c>
      <c r="H257" s="1" t="s">
        <v>14</v>
      </c>
      <c r="I257" s="2">
        <v>45696</v>
      </c>
    </row>
    <row r="258" spans="1:9" x14ac:dyDescent="0.35">
      <c r="A258" s="1" t="s">
        <v>284</v>
      </c>
      <c r="B258" s="1" t="s">
        <v>20</v>
      </c>
      <c r="C258" s="1" t="s">
        <v>32</v>
      </c>
      <c r="D258" s="1" t="s">
        <v>12</v>
      </c>
      <c r="E258">
        <v>942</v>
      </c>
      <c r="F258">
        <v>98</v>
      </c>
      <c r="G258" s="1" t="s">
        <v>13</v>
      </c>
      <c r="H258" s="1" t="s">
        <v>18</v>
      </c>
      <c r="I258" s="2">
        <v>45686</v>
      </c>
    </row>
    <row r="259" spans="1:9" x14ac:dyDescent="0.35">
      <c r="A259" s="1" t="s">
        <v>285</v>
      </c>
      <c r="B259" s="1" t="s">
        <v>10</v>
      </c>
      <c r="C259" s="1" t="s">
        <v>11</v>
      </c>
      <c r="D259" s="1" t="s">
        <v>12</v>
      </c>
      <c r="E259">
        <v>941</v>
      </c>
      <c r="F259">
        <v>203</v>
      </c>
      <c r="G259" s="1" t="s">
        <v>13</v>
      </c>
      <c r="H259" s="1" t="s">
        <v>23</v>
      </c>
      <c r="I259" s="2">
        <v>45771</v>
      </c>
    </row>
    <row r="260" spans="1:9" x14ac:dyDescent="0.35">
      <c r="A260" s="1" t="s">
        <v>286</v>
      </c>
      <c r="B260" s="1" t="s">
        <v>10</v>
      </c>
      <c r="C260" s="1" t="s">
        <v>32</v>
      </c>
      <c r="D260" s="1" t="s">
        <v>12</v>
      </c>
      <c r="E260">
        <v>1697</v>
      </c>
      <c r="F260">
        <v>396</v>
      </c>
      <c r="G260" s="1" t="s">
        <v>13</v>
      </c>
      <c r="H260" s="1" t="s">
        <v>14</v>
      </c>
      <c r="I260" s="2">
        <v>45687</v>
      </c>
    </row>
    <row r="261" spans="1:9" x14ac:dyDescent="0.35">
      <c r="A261" s="1" t="s">
        <v>287</v>
      </c>
      <c r="B261" s="1" t="s">
        <v>48</v>
      </c>
      <c r="C261" s="1" t="s">
        <v>11</v>
      </c>
      <c r="D261" s="1" t="s">
        <v>21</v>
      </c>
      <c r="E261">
        <v>1959</v>
      </c>
      <c r="F261">
        <v>342</v>
      </c>
      <c r="G261" s="1" t="s">
        <v>13</v>
      </c>
      <c r="H261" s="1" t="s">
        <v>18</v>
      </c>
      <c r="I261" s="2">
        <v>45685</v>
      </c>
    </row>
    <row r="262" spans="1:9" x14ac:dyDescent="0.35">
      <c r="A262" s="1" t="s">
        <v>288</v>
      </c>
      <c r="B262" s="1" t="s">
        <v>48</v>
      </c>
      <c r="C262" s="1" t="s">
        <v>11</v>
      </c>
      <c r="D262" s="1" t="s">
        <v>12</v>
      </c>
      <c r="E262">
        <v>1444</v>
      </c>
      <c r="F262">
        <v>117</v>
      </c>
      <c r="G262" s="1" t="s">
        <v>13</v>
      </c>
      <c r="H262" s="1" t="s">
        <v>42</v>
      </c>
      <c r="I262" s="2">
        <v>45769</v>
      </c>
    </row>
    <row r="263" spans="1:9" x14ac:dyDescent="0.35">
      <c r="A263" s="1" t="s">
        <v>289</v>
      </c>
      <c r="B263" s="1" t="s">
        <v>27</v>
      </c>
      <c r="C263" s="1" t="s">
        <v>25</v>
      </c>
      <c r="D263" s="1" t="s">
        <v>21</v>
      </c>
      <c r="E263">
        <v>641</v>
      </c>
      <c r="F263">
        <v>99</v>
      </c>
      <c r="G263" s="1" t="s">
        <v>13</v>
      </c>
      <c r="H263" s="1" t="s">
        <v>42</v>
      </c>
      <c r="I263" s="2">
        <v>45731</v>
      </c>
    </row>
    <row r="264" spans="1:9" x14ac:dyDescent="0.35">
      <c r="A264" s="1" t="s">
        <v>290</v>
      </c>
      <c r="B264" s="1" t="s">
        <v>48</v>
      </c>
      <c r="C264" s="1" t="s">
        <v>11</v>
      </c>
      <c r="D264" s="1" t="s">
        <v>12</v>
      </c>
      <c r="E264">
        <v>357</v>
      </c>
      <c r="F264">
        <v>201</v>
      </c>
      <c r="G264" s="1" t="s">
        <v>13</v>
      </c>
      <c r="H264" s="1" t="s">
        <v>33</v>
      </c>
      <c r="I264" s="2">
        <v>45733</v>
      </c>
    </row>
    <row r="265" spans="1:9" x14ac:dyDescent="0.35">
      <c r="A265" s="1" t="s">
        <v>291</v>
      </c>
      <c r="B265" s="1" t="s">
        <v>20</v>
      </c>
      <c r="C265" s="1" t="s">
        <v>32</v>
      </c>
      <c r="D265" s="1" t="s">
        <v>12</v>
      </c>
      <c r="E265">
        <v>1712</v>
      </c>
      <c r="F265">
        <v>68</v>
      </c>
      <c r="G265" s="1" t="s">
        <v>13</v>
      </c>
      <c r="H265" s="1" t="s">
        <v>18</v>
      </c>
      <c r="I265" s="2">
        <v>45771</v>
      </c>
    </row>
    <row r="266" spans="1:9" x14ac:dyDescent="0.35">
      <c r="A266" s="1" t="s">
        <v>292</v>
      </c>
      <c r="B266" s="1" t="s">
        <v>10</v>
      </c>
      <c r="C266" s="1" t="s">
        <v>17</v>
      </c>
      <c r="D266" s="1" t="s">
        <v>12</v>
      </c>
      <c r="E266">
        <v>1757</v>
      </c>
      <c r="F266">
        <v>149</v>
      </c>
      <c r="G266" s="1" t="s">
        <v>13</v>
      </c>
      <c r="H266" s="1" t="s">
        <v>42</v>
      </c>
      <c r="I266" s="2">
        <v>45692</v>
      </c>
    </row>
    <row r="267" spans="1:9" x14ac:dyDescent="0.35">
      <c r="A267" s="1" t="s">
        <v>293</v>
      </c>
      <c r="B267" s="1" t="s">
        <v>48</v>
      </c>
      <c r="C267" s="1" t="s">
        <v>11</v>
      </c>
      <c r="D267" s="1" t="s">
        <v>12</v>
      </c>
      <c r="E267">
        <v>1233</v>
      </c>
      <c r="F267">
        <v>109</v>
      </c>
      <c r="G267" s="1" t="s">
        <v>13</v>
      </c>
      <c r="H267" s="1" t="s">
        <v>23</v>
      </c>
      <c r="I267" s="2">
        <v>45698</v>
      </c>
    </row>
    <row r="268" spans="1:9" x14ac:dyDescent="0.35">
      <c r="A268" s="1" t="s">
        <v>294</v>
      </c>
      <c r="B268" s="1" t="s">
        <v>48</v>
      </c>
      <c r="C268" s="1" t="s">
        <v>25</v>
      </c>
      <c r="D268" s="1" t="s">
        <v>12</v>
      </c>
      <c r="E268">
        <v>579</v>
      </c>
      <c r="F268">
        <v>216</v>
      </c>
      <c r="G268" s="1" t="s">
        <v>13</v>
      </c>
      <c r="H268" s="1" t="s">
        <v>18</v>
      </c>
      <c r="I268" s="2">
        <v>45700</v>
      </c>
    </row>
    <row r="269" spans="1:9" x14ac:dyDescent="0.35">
      <c r="A269" s="1" t="s">
        <v>295</v>
      </c>
      <c r="B269" s="1" t="s">
        <v>27</v>
      </c>
      <c r="C269" s="1" t="s">
        <v>32</v>
      </c>
      <c r="D269" s="1" t="s">
        <v>12</v>
      </c>
      <c r="E269">
        <v>1134</v>
      </c>
      <c r="F269">
        <v>251</v>
      </c>
      <c r="G269" s="1" t="s">
        <v>13</v>
      </c>
      <c r="H269" s="1" t="s">
        <v>23</v>
      </c>
      <c r="I269" s="2">
        <v>45733</v>
      </c>
    </row>
    <row r="270" spans="1:9" x14ac:dyDescent="0.35">
      <c r="A270" s="1" t="s">
        <v>296</v>
      </c>
      <c r="B270" s="1" t="s">
        <v>37</v>
      </c>
      <c r="C270" s="1" t="s">
        <v>11</v>
      </c>
      <c r="D270" s="1" t="s">
        <v>21</v>
      </c>
      <c r="E270">
        <v>1830</v>
      </c>
      <c r="F270">
        <v>394</v>
      </c>
      <c r="G270" s="1" t="s">
        <v>13</v>
      </c>
      <c r="H270" s="1" t="s">
        <v>23</v>
      </c>
      <c r="I270" s="2">
        <v>45724</v>
      </c>
    </row>
    <row r="271" spans="1:9" x14ac:dyDescent="0.35">
      <c r="A271" s="1" t="s">
        <v>297</v>
      </c>
      <c r="B271" s="1" t="s">
        <v>27</v>
      </c>
      <c r="C271" s="1" t="s">
        <v>32</v>
      </c>
      <c r="D271" s="1" t="s">
        <v>12</v>
      </c>
      <c r="E271">
        <v>1778</v>
      </c>
      <c r="F271">
        <v>195</v>
      </c>
      <c r="G271" s="1" t="s">
        <v>13</v>
      </c>
      <c r="H271" s="1" t="s">
        <v>42</v>
      </c>
      <c r="I271" s="2">
        <v>45691</v>
      </c>
    </row>
    <row r="272" spans="1:9" x14ac:dyDescent="0.35">
      <c r="A272" s="1" t="s">
        <v>298</v>
      </c>
      <c r="B272" s="1" t="s">
        <v>20</v>
      </c>
      <c r="C272" s="1" t="s">
        <v>25</v>
      </c>
      <c r="D272" s="1" t="s">
        <v>12</v>
      </c>
      <c r="E272">
        <v>1482</v>
      </c>
      <c r="F272">
        <v>213</v>
      </c>
      <c r="G272" s="1" t="s">
        <v>13</v>
      </c>
      <c r="H272" s="1" t="s">
        <v>18</v>
      </c>
      <c r="I272" s="2">
        <v>45702</v>
      </c>
    </row>
    <row r="273" spans="1:9" x14ac:dyDescent="0.35">
      <c r="A273" s="1" t="s">
        <v>299</v>
      </c>
      <c r="B273" s="1" t="s">
        <v>10</v>
      </c>
      <c r="C273" s="1" t="s">
        <v>25</v>
      </c>
      <c r="D273" s="1" t="s">
        <v>12</v>
      </c>
      <c r="E273">
        <v>669</v>
      </c>
      <c r="F273">
        <v>291</v>
      </c>
      <c r="G273" s="1" t="s">
        <v>13</v>
      </c>
      <c r="H273" s="1" t="s">
        <v>14</v>
      </c>
      <c r="I273" s="2">
        <v>45740</v>
      </c>
    </row>
    <row r="274" spans="1:9" x14ac:dyDescent="0.35">
      <c r="A274" s="1" t="s">
        <v>300</v>
      </c>
      <c r="B274" s="1" t="s">
        <v>27</v>
      </c>
      <c r="C274" s="1" t="s">
        <v>32</v>
      </c>
      <c r="D274" s="1" t="s">
        <v>12</v>
      </c>
      <c r="E274">
        <v>740</v>
      </c>
      <c r="F274">
        <v>118</v>
      </c>
      <c r="G274" s="1" t="s">
        <v>13</v>
      </c>
      <c r="H274" s="1" t="s">
        <v>42</v>
      </c>
      <c r="I274" s="2">
        <v>45703</v>
      </c>
    </row>
    <row r="275" spans="1:9" x14ac:dyDescent="0.35">
      <c r="A275" s="1" t="s">
        <v>301</v>
      </c>
      <c r="B275" s="1" t="s">
        <v>48</v>
      </c>
      <c r="C275" s="1" t="s">
        <v>11</v>
      </c>
      <c r="D275" s="1" t="s">
        <v>12</v>
      </c>
      <c r="E275">
        <v>1200</v>
      </c>
      <c r="F275">
        <v>224</v>
      </c>
      <c r="G275" s="1" t="s">
        <v>13</v>
      </c>
      <c r="H275" s="1" t="s">
        <v>42</v>
      </c>
      <c r="I275" s="2">
        <v>45662</v>
      </c>
    </row>
    <row r="276" spans="1:9" x14ac:dyDescent="0.35">
      <c r="A276" s="1" t="s">
        <v>302</v>
      </c>
      <c r="B276" s="1" t="s">
        <v>10</v>
      </c>
      <c r="C276" s="1" t="s">
        <v>17</v>
      </c>
      <c r="D276" s="1" t="s">
        <v>12</v>
      </c>
      <c r="E276">
        <v>1859</v>
      </c>
      <c r="F276">
        <v>98</v>
      </c>
      <c r="G276" s="1" t="s">
        <v>13</v>
      </c>
      <c r="H276" s="1" t="s">
        <v>18</v>
      </c>
      <c r="I276" s="2">
        <v>45747</v>
      </c>
    </row>
    <row r="277" spans="1:9" x14ac:dyDescent="0.35">
      <c r="A277" s="1" t="s">
        <v>303</v>
      </c>
      <c r="B277" s="1" t="s">
        <v>10</v>
      </c>
      <c r="C277" s="1" t="s">
        <v>25</v>
      </c>
      <c r="D277" s="1" t="s">
        <v>12</v>
      </c>
      <c r="E277">
        <v>1735</v>
      </c>
      <c r="F277">
        <v>157</v>
      </c>
      <c r="G277" s="1" t="s">
        <v>13</v>
      </c>
      <c r="H277" s="1" t="s">
        <v>18</v>
      </c>
      <c r="I277" s="2">
        <v>45668</v>
      </c>
    </row>
    <row r="278" spans="1:9" x14ac:dyDescent="0.35">
      <c r="A278" s="1" t="s">
        <v>304</v>
      </c>
      <c r="B278" s="1" t="s">
        <v>48</v>
      </c>
      <c r="C278" s="1" t="s">
        <v>11</v>
      </c>
      <c r="D278" s="1" t="s">
        <v>21</v>
      </c>
      <c r="E278">
        <v>348</v>
      </c>
      <c r="F278">
        <v>275</v>
      </c>
      <c r="G278" s="1" t="s">
        <v>13</v>
      </c>
      <c r="H278" s="1" t="s">
        <v>23</v>
      </c>
      <c r="I278" s="2">
        <v>45776</v>
      </c>
    </row>
    <row r="279" spans="1:9" x14ac:dyDescent="0.35">
      <c r="A279" s="1" t="s">
        <v>305</v>
      </c>
      <c r="B279" s="1" t="s">
        <v>27</v>
      </c>
      <c r="C279" s="1" t="s">
        <v>11</v>
      </c>
      <c r="D279" s="1" t="s">
        <v>51</v>
      </c>
      <c r="E279">
        <v>536</v>
      </c>
      <c r="F279">
        <v>210</v>
      </c>
      <c r="G279" s="1" t="s">
        <v>13</v>
      </c>
      <c r="H279" s="1" t="s">
        <v>18</v>
      </c>
      <c r="I279" s="2">
        <v>45676</v>
      </c>
    </row>
    <row r="280" spans="1:9" x14ac:dyDescent="0.35">
      <c r="A280" s="1" t="s">
        <v>306</v>
      </c>
      <c r="B280" s="1" t="s">
        <v>48</v>
      </c>
      <c r="C280" s="1" t="s">
        <v>17</v>
      </c>
      <c r="D280" s="1" t="s">
        <v>12</v>
      </c>
      <c r="E280">
        <v>498</v>
      </c>
      <c r="F280">
        <v>168</v>
      </c>
      <c r="G280" s="1" t="s">
        <v>13</v>
      </c>
      <c r="H280" s="1" t="s">
        <v>23</v>
      </c>
      <c r="I280" s="2">
        <v>45755</v>
      </c>
    </row>
    <row r="281" spans="1:9" x14ac:dyDescent="0.35">
      <c r="A281" s="1" t="s">
        <v>307</v>
      </c>
      <c r="B281" s="1" t="s">
        <v>37</v>
      </c>
      <c r="C281" s="1" t="s">
        <v>25</v>
      </c>
      <c r="D281" s="1" t="s">
        <v>12</v>
      </c>
      <c r="E281">
        <v>1109</v>
      </c>
      <c r="F281">
        <v>198</v>
      </c>
      <c r="G281" s="1" t="s">
        <v>13</v>
      </c>
      <c r="H281" s="1" t="s">
        <v>42</v>
      </c>
      <c r="I281" s="2">
        <v>45673</v>
      </c>
    </row>
    <row r="282" spans="1:9" x14ac:dyDescent="0.35">
      <c r="A282" s="1" t="s">
        <v>308</v>
      </c>
      <c r="B282" s="1" t="s">
        <v>10</v>
      </c>
      <c r="C282" s="1" t="s">
        <v>25</v>
      </c>
      <c r="D282" s="1" t="s">
        <v>12</v>
      </c>
      <c r="E282">
        <v>842</v>
      </c>
      <c r="F282">
        <v>199</v>
      </c>
      <c r="G282" s="1" t="s">
        <v>13</v>
      </c>
      <c r="H282" s="1" t="s">
        <v>33</v>
      </c>
      <c r="I282" s="2">
        <v>45748</v>
      </c>
    </row>
    <row r="283" spans="1:9" x14ac:dyDescent="0.35">
      <c r="A283" s="1" t="s">
        <v>309</v>
      </c>
      <c r="B283" s="1" t="s">
        <v>16</v>
      </c>
      <c r="C283" s="1" t="s">
        <v>11</v>
      </c>
      <c r="D283" s="1" t="s">
        <v>12</v>
      </c>
      <c r="E283">
        <v>1709</v>
      </c>
      <c r="F283">
        <v>342</v>
      </c>
      <c r="G283" s="1" t="s">
        <v>13</v>
      </c>
      <c r="H283" s="1" t="s">
        <v>14</v>
      </c>
      <c r="I283" s="2">
        <v>45710</v>
      </c>
    </row>
    <row r="284" spans="1:9" x14ac:dyDescent="0.35">
      <c r="A284" s="1" t="s">
        <v>310</v>
      </c>
      <c r="B284" s="1" t="s">
        <v>16</v>
      </c>
      <c r="C284" s="1" t="s">
        <v>11</v>
      </c>
      <c r="D284" s="1" t="s">
        <v>12</v>
      </c>
      <c r="E284">
        <v>527</v>
      </c>
      <c r="F284">
        <v>192</v>
      </c>
      <c r="G284" s="1" t="s">
        <v>13</v>
      </c>
      <c r="H284" s="1" t="s">
        <v>42</v>
      </c>
      <c r="I284" s="2">
        <v>45727</v>
      </c>
    </row>
    <row r="285" spans="1:9" x14ac:dyDescent="0.35">
      <c r="A285" s="1" t="s">
        <v>311</v>
      </c>
      <c r="B285" s="1" t="s">
        <v>20</v>
      </c>
      <c r="C285" s="1" t="s">
        <v>17</v>
      </c>
      <c r="D285" s="1" t="s">
        <v>12</v>
      </c>
      <c r="E285">
        <v>1048</v>
      </c>
      <c r="F285">
        <v>209</v>
      </c>
      <c r="G285" s="1" t="s">
        <v>13</v>
      </c>
      <c r="H285" s="1" t="s">
        <v>18</v>
      </c>
      <c r="I285" s="2">
        <v>45696</v>
      </c>
    </row>
    <row r="286" spans="1:9" x14ac:dyDescent="0.35">
      <c r="A286" s="1" t="s">
        <v>312</v>
      </c>
      <c r="B286" s="1" t="s">
        <v>48</v>
      </c>
      <c r="C286" s="1" t="s">
        <v>17</v>
      </c>
      <c r="D286" s="1" t="s">
        <v>21</v>
      </c>
      <c r="E286">
        <v>1065</v>
      </c>
      <c r="F286">
        <v>60</v>
      </c>
      <c r="G286" s="1" t="s">
        <v>13</v>
      </c>
      <c r="H286" s="1" t="s">
        <v>14</v>
      </c>
      <c r="I286" s="2">
        <v>45764</v>
      </c>
    </row>
    <row r="287" spans="1:9" x14ac:dyDescent="0.35">
      <c r="A287" s="1" t="s">
        <v>313</v>
      </c>
      <c r="B287" s="1" t="s">
        <v>48</v>
      </c>
      <c r="C287" s="1" t="s">
        <v>25</v>
      </c>
      <c r="D287" s="1" t="s">
        <v>12</v>
      </c>
      <c r="E287">
        <v>1731</v>
      </c>
      <c r="F287">
        <v>187</v>
      </c>
      <c r="G287" s="1" t="s">
        <v>13</v>
      </c>
      <c r="H287" s="1" t="s">
        <v>33</v>
      </c>
      <c r="I287" s="2">
        <v>45772</v>
      </c>
    </row>
    <row r="288" spans="1:9" x14ac:dyDescent="0.35">
      <c r="A288" s="1" t="s">
        <v>314</v>
      </c>
      <c r="B288" s="1" t="s">
        <v>20</v>
      </c>
      <c r="C288" s="1" t="s">
        <v>32</v>
      </c>
      <c r="D288" s="1" t="s">
        <v>12</v>
      </c>
      <c r="E288">
        <v>676</v>
      </c>
      <c r="F288">
        <v>127</v>
      </c>
      <c r="G288" s="1" t="s">
        <v>13</v>
      </c>
      <c r="H288" s="1" t="s">
        <v>33</v>
      </c>
      <c r="I288" s="2">
        <v>45684</v>
      </c>
    </row>
    <row r="289" spans="1:9" x14ac:dyDescent="0.35">
      <c r="A289" s="1" t="s">
        <v>315</v>
      </c>
      <c r="B289" s="1" t="s">
        <v>20</v>
      </c>
      <c r="C289" s="1" t="s">
        <v>25</v>
      </c>
      <c r="D289" s="1" t="s">
        <v>12</v>
      </c>
      <c r="E289">
        <v>1326</v>
      </c>
      <c r="F289">
        <v>126</v>
      </c>
      <c r="G289" s="1" t="s">
        <v>13</v>
      </c>
      <c r="H289" s="1" t="s">
        <v>23</v>
      </c>
      <c r="I289" s="2">
        <v>45662</v>
      </c>
    </row>
    <row r="290" spans="1:9" x14ac:dyDescent="0.35">
      <c r="A290" s="1" t="s">
        <v>316</v>
      </c>
      <c r="B290" s="1" t="s">
        <v>20</v>
      </c>
      <c r="C290" s="1" t="s">
        <v>11</v>
      </c>
      <c r="D290" s="1" t="s">
        <v>12</v>
      </c>
      <c r="E290">
        <v>883</v>
      </c>
      <c r="F290">
        <v>303</v>
      </c>
      <c r="G290" s="1" t="s">
        <v>13</v>
      </c>
      <c r="H290" s="1" t="s">
        <v>14</v>
      </c>
      <c r="I290" s="2">
        <v>45721</v>
      </c>
    </row>
    <row r="291" spans="1:9" x14ac:dyDescent="0.35">
      <c r="A291" s="1" t="s">
        <v>317</v>
      </c>
      <c r="B291" s="1" t="s">
        <v>10</v>
      </c>
      <c r="C291" s="1" t="s">
        <v>25</v>
      </c>
      <c r="D291" s="1" t="s">
        <v>12</v>
      </c>
      <c r="E291">
        <v>355</v>
      </c>
      <c r="F291">
        <v>307</v>
      </c>
      <c r="G291" s="1" t="s">
        <v>13</v>
      </c>
      <c r="H291" s="1" t="s">
        <v>23</v>
      </c>
      <c r="I291" s="2">
        <v>45665</v>
      </c>
    </row>
    <row r="292" spans="1:9" x14ac:dyDescent="0.35">
      <c r="A292" s="1" t="s">
        <v>318</v>
      </c>
      <c r="B292" s="1" t="s">
        <v>37</v>
      </c>
      <c r="C292" s="1" t="s">
        <v>32</v>
      </c>
      <c r="D292" s="1" t="s">
        <v>12</v>
      </c>
      <c r="E292">
        <v>604</v>
      </c>
      <c r="F292">
        <v>369</v>
      </c>
      <c r="G292" s="1" t="s">
        <v>13</v>
      </c>
      <c r="H292" s="1" t="s">
        <v>42</v>
      </c>
      <c r="I292" s="2">
        <v>45759</v>
      </c>
    </row>
    <row r="293" spans="1:9" x14ac:dyDescent="0.35">
      <c r="A293" s="1" t="s">
        <v>319</v>
      </c>
      <c r="B293" s="1" t="s">
        <v>48</v>
      </c>
      <c r="C293" s="1" t="s">
        <v>17</v>
      </c>
      <c r="D293" s="1" t="s">
        <v>12</v>
      </c>
      <c r="E293">
        <v>1446</v>
      </c>
      <c r="F293">
        <v>340</v>
      </c>
      <c r="G293" s="1" t="s">
        <v>13</v>
      </c>
      <c r="H293" s="1" t="s">
        <v>14</v>
      </c>
      <c r="I293" s="2">
        <v>45735</v>
      </c>
    </row>
    <row r="294" spans="1:9" x14ac:dyDescent="0.35">
      <c r="A294" s="1" t="s">
        <v>320</v>
      </c>
      <c r="B294" s="1" t="s">
        <v>10</v>
      </c>
      <c r="C294" s="1" t="s">
        <v>32</v>
      </c>
      <c r="D294" s="1" t="s">
        <v>21</v>
      </c>
      <c r="E294">
        <v>1409</v>
      </c>
      <c r="F294">
        <v>312</v>
      </c>
      <c r="G294" s="1" t="s">
        <v>13</v>
      </c>
      <c r="H294" s="1" t="s">
        <v>42</v>
      </c>
      <c r="I294" s="2">
        <v>45658</v>
      </c>
    </row>
    <row r="295" spans="1:9" x14ac:dyDescent="0.35">
      <c r="A295" s="1" t="s">
        <v>321</v>
      </c>
      <c r="B295" s="1" t="s">
        <v>20</v>
      </c>
      <c r="C295" s="1" t="s">
        <v>32</v>
      </c>
      <c r="D295" s="1" t="s">
        <v>12</v>
      </c>
      <c r="E295">
        <v>1913</v>
      </c>
      <c r="F295">
        <v>134</v>
      </c>
      <c r="G295" s="1" t="s">
        <v>13</v>
      </c>
      <c r="H295" s="1" t="s">
        <v>23</v>
      </c>
      <c r="I295" s="2">
        <v>45739</v>
      </c>
    </row>
    <row r="296" spans="1:9" x14ac:dyDescent="0.35">
      <c r="A296" s="1" t="s">
        <v>322</v>
      </c>
      <c r="B296" s="1" t="s">
        <v>48</v>
      </c>
      <c r="C296" s="1" t="s">
        <v>32</v>
      </c>
      <c r="D296" s="1" t="s">
        <v>12</v>
      </c>
      <c r="E296">
        <v>670</v>
      </c>
      <c r="F296">
        <v>195</v>
      </c>
      <c r="G296" s="1" t="s">
        <v>13</v>
      </c>
      <c r="H296" s="1" t="s">
        <v>14</v>
      </c>
      <c r="I296" s="2">
        <v>45665</v>
      </c>
    </row>
    <row r="297" spans="1:9" x14ac:dyDescent="0.35">
      <c r="A297" s="1" t="s">
        <v>323</v>
      </c>
      <c r="B297" s="1" t="s">
        <v>10</v>
      </c>
      <c r="C297" s="1" t="s">
        <v>17</v>
      </c>
      <c r="D297" s="1" t="s">
        <v>12</v>
      </c>
      <c r="E297">
        <v>1851</v>
      </c>
      <c r="F297">
        <v>372</v>
      </c>
      <c r="G297" s="1" t="s">
        <v>13</v>
      </c>
      <c r="H297" s="1" t="s">
        <v>23</v>
      </c>
      <c r="I297" s="2">
        <v>45735</v>
      </c>
    </row>
    <row r="298" spans="1:9" x14ac:dyDescent="0.35">
      <c r="A298" s="1" t="s">
        <v>324</v>
      </c>
      <c r="B298" s="1" t="s">
        <v>37</v>
      </c>
      <c r="C298" s="1" t="s">
        <v>32</v>
      </c>
      <c r="D298" s="1" t="s">
        <v>12</v>
      </c>
      <c r="E298">
        <v>1166</v>
      </c>
      <c r="F298">
        <v>91</v>
      </c>
      <c r="G298" s="1" t="s">
        <v>13</v>
      </c>
      <c r="H298" s="1" t="s">
        <v>14</v>
      </c>
      <c r="I298" s="2">
        <v>45725</v>
      </c>
    </row>
    <row r="299" spans="1:9" x14ac:dyDescent="0.35">
      <c r="A299" s="1" t="s">
        <v>325</v>
      </c>
      <c r="B299" s="1" t="s">
        <v>10</v>
      </c>
      <c r="C299" s="1" t="s">
        <v>32</v>
      </c>
      <c r="D299" s="1" t="s">
        <v>12</v>
      </c>
      <c r="E299">
        <v>1105</v>
      </c>
      <c r="F299">
        <v>174</v>
      </c>
      <c r="G299" s="1" t="s">
        <v>13</v>
      </c>
      <c r="H299" s="1" t="s">
        <v>23</v>
      </c>
      <c r="I299" s="2">
        <v>45753</v>
      </c>
    </row>
    <row r="300" spans="1:9" x14ac:dyDescent="0.35">
      <c r="A300" s="1" t="s">
        <v>326</v>
      </c>
      <c r="B300" s="1" t="s">
        <v>37</v>
      </c>
      <c r="C300" s="1" t="s">
        <v>32</v>
      </c>
      <c r="D300" s="1" t="s">
        <v>21</v>
      </c>
      <c r="E300">
        <v>875</v>
      </c>
      <c r="F300">
        <v>216</v>
      </c>
      <c r="G300" s="1" t="s">
        <v>13</v>
      </c>
      <c r="H300" s="1" t="s">
        <v>33</v>
      </c>
      <c r="I300" s="2">
        <v>45772</v>
      </c>
    </row>
    <row r="301" spans="1:9" x14ac:dyDescent="0.35">
      <c r="A301" s="1" t="s">
        <v>327</v>
      </c>
      <c r="B301" s="1" t="s">
        <v>20</v>
      </c>
      <c r="C301" s="1" t="s">
        <v>11</v>
      </c>
      <c r="D301" s="1" t="s">
        <v>21</v>
      </c>
      <c r="E301">
        <v>1163</v>
      </c>
      <c r="F301">
        <v>290</v>
      </c>
      <c r="G301" s="1" t="s">
        <v>13</v>
      </c>
      <c r="H301" s="1" t="s">
        <v>23</v>
      </c>
      <c r="I301" s="2">
        <v>45686</v>
      </c>
    </row>
    <row r="302" spans="1:9" x14ac:dyDescent="0.35">
      <c r="A302" s="1" t="s">
        <v>328</v>
      </c>
      <c r="B302" s="1" t="s">
        <v>37</v>
      </c>
      <c r="C302" s="1" t="s">
        <v>32</v>
      </c>
      <c r="D302" s="1" t="s">
        <v>21</v>
      </c>
      <c r="E302">
        <v>650</v>
      </c>
      <c r="F302">
        <v>329</v>
      </c>
      <c r="G302" s="1" t="s">
        <v>13</v>
      </c>
      <c r="H302" s="1" t="s">
        <v>33</v>
      </c>
      <c r="I302" s="2">
        <v>45682</v>
      </c>
    </row>
    <row r="303" spans="1:9" x14ac:dyDescent="0.35">
      <c r="A303" s="1" t="s">
        <v>329</v>
      </c>
      <c r="B303" s="1" t="s">
        <v>48</v>
      </c>
      <c r="C303" s="1" t="s">
        <v>17</v>
      </c>
      <c r="D303" s="1" t="s">
        <v>12</v>
      </c>
      <c r="E303">
        <v>266</v>
      </c>
      <c r="F303">
        <v>237</v>
      </c>
      <c r="G303" s="1" t="s">
        <v>13</v>
      </c>
      <c r="H303" s="1" t="s">
        <v>23</v>
      </c>
      <c r="I303" s="2">
        <v>45755</v>
      </c>
    </row>
    <row r="304" spans="1:9" x14ac:dyDescent="0.35">
      <c r="A304" s="1" t="s">
        <v>330</v>
      </c>
      <c r="B304" s="1" t="s">
        <v>20</v>
      </c>
      <c r="C304" s="1" t="s">
        <v>32</v>
      </c>
      <c r="D304" s="1" t="s">
        <v>12</v>
      </c>
      <c r="E304">
        <v>535</v>
      </c>
      <c r="F304">
        <v>351</v>
      </c>
      <c r="G304" s="1" t="s">
        <v>13</v>
      </c>
      <c r="H304" s="1" t="s">
        <v>14</v>
      </c>
      <c r="I304" s="2">
        <v>45769</v>
      </c>
    </row>
    <row r="305" spans="1:9" x14ac:dyDescent="0.35">
      <c r="A305" s="1" t="s">
        <v>331</v>
      </c>
      <c r="B305" s="1" t="s">
        <v>48</v>
      </c>
      <c r="C305" s="1" t="s">
        <v>32</v>
      </c>
      <c r="D305" s="1" t="s">
        <v>12</v>
      </c>
      <c r="E305">
        <v>1517</v>
      </c>
      <c r="F305">
        <v>68</v>
      </c>
      <c r="G305" s="1" t="s">
        <v>13</v>
      </c>
      <c r="H305" s="1" t="s">
        <v>14</v>
      </c>
      <c r="I305" s="2">
        <v>45706</v>
      </c>
    </row>
    <row r="306" spans="1:9" x14ac:dyDescent="0.35">
      <c r="A306" s="1" t="s">
        <v>332</v>
      </c>
      <c r="B306" s="1" t="s">
        <v>16</v>
      </c>
      <c r="C306" s="1" t="s">
        <v>17</v>
      </c>
      <c r="D306" s="1" t="s">
        <v>12</v>
      </c>
      <c r="E306">
        <v>733</v>
      </c>
      <c r="F306">
        <v>117</v>
      </c>
      <c r="G306" s="1" t="s">
        <v>13</v>
      </c>
      <c r="H306" s="1" t="s">
        <v>14</v>
      </c>
      <c r="I306" s="2">
        <v>45682</v>
      </c>
    </row>
    <row r="307" spans="1:9" x14ac:dyDescent="0.35">
      <c r="A307" s="1" t="s">
        <v>333</v>
      </c>
      <c r="B307" s="1" t="s">
        <v>27</v>
      </c>
      <c r="C307" s="1" t="s">
        <v>32</v>
      </c>
      <c r="D307" s="1" t="s">
        <v>21</v>
      </c>
      <c r="E307">
        <v>544</v>
      </c>
      <c r="F307">
        <v>267</v>
      </c>
      <c r="G307" s="1" t="s">
        <v>13</v>
      </c>
      <c r="H307" s="1" t="s">
        <v>18</v>
      </c>
      <c r="I307" s="2">
        <v>45771</v>
      </c>
    </row>
    <row r="308" spans="1:9" x14ac:dyDescent="0.35">
      <c r="A308" s="1" t="s">
        <v>334</v>
      </c>
      <c r="B308" s="1" t="s">
        <v>37</v>
      </c>
      <c r="C308" s="1" t="s">
        <v>17</v>
      </c>
      <c r="D308" s="1" t="s">
        <v>12</v>
      </c>
      <c r="E308">
        <v>1237</v>
      </c>
      <c r="F308">
        <v>151</v>
      </c>
      <c r="G308" s="1" t="s">
        <v>13</v>
      </c>
      <c r="H308" s="1" t="s">
        <v>42</v>
      </c>
      <c r="I308" s="2">
        <v>45715</v>
      </c>
    </row>
    <row r="309" spans="1:9" x14ac:dyDescent="0.35">
      <c r="A309" s="1" t="s">
        <v>335</v>
      </c>
      <c r="B309" s="1" t="s">
        <v>27</v>
      </c>
      <c r="C309" s="1" t="s">
        <v>32</v>
      </c>
      <c r="D309" s="1" t="s">
        <v>12</v>
      </c>
      <c r="E309">
        <v>1890</v>
      </c>
      <c r="F309">
        <v>91</v>
      </c>
      <c r="G309" s="1" t="s">
        <v>13</v>
      </c>
      <c r="H309" s="1" t="s">
        <v>14</v>
      </c>
      <c r="I309" s="2">
        <v>45773</v>
      </c>
    </row>
    <row r="310" spans="1:9" x14ac:dyDescent="0.35">
      <c r="A310" s="1" t="s">
        <v>336</v>
      </c>
      <c r="B310" s="1" t="s">
        <v>27</v>
      </c>
      <c r="C310" s="1" t="s">
        <v>17</v>
      </c>
      <c r="D310" s="1" t="s">
        <v>12</v>
      </c>
      <c r="E310">
        <v>870</v>
      </c>
      <c r="F310">
        <v>337</v>
      </c>
      <c r="G310" s="1" t="s">
        <v>13</v>
      </c>
      <c r="H310" s="1" t="s">
        <v>33</v>
      </c>
      <c r="I310" s="2">
        <v>45683</v>
      </c>
    </row>
    <row r="311" spans="1:9" x14ac:dyDescent="0.35">
      <c r="A311" s="1" t="s">
        <v>337</v>
      </c>
      <c r="B311" s="1" t="s">
        <v>37</v>
      </c>
      <c r="C311" s="1" t="s">
        <v>32</v>
      </c>
      <c r="D311" s="1" t="s">
        <v>12</v>
      </c>
      <c r="E311">
        <v>221</v>
      </c>
      <c r="F311">
        <v>216</v>
      </c>
      <c r="G311" s="1" t="s">
        <v>13</v>
      </c>
      <c r="H311" s="1" t="s">
        <v>14</v>
      </c>
      <c r="I311" s="2">
        <v>45707</v>
      </c>
    </row>
    <row r="312" spans="1:9" x14ac:dyDescent="0.35">
      <c r="A312" s="1" t="s">
        <v>338</v>
      </c>
      <c r="B312" s="1" t="s">
        <v>20</v>
      </c>
      <c r="C312" s="1" t="s">
        <v>32</v>
      </c>
      <c r="D312" s="1" t="s">
        <v>12</v>
      </c>
      <c r="E312">
        <v>1962</v>
      </c>
      <c r="F312">
        <v>158</v>
      </c>
      <c r="G312" s="1" t="s">
        <v>13</v>
      </c>
      <c r="H312" s="1" t="s">
        <v>18</v>
      </c>
      <c r="I312" s="2">
        <v>45676</v>
      </c>
    </row>
    <row r="313" spans="1:9" x14ac:dyDescent="0.35">
      <c r="A313" s="1" t="s">
        <v>339</v>
      </c>
      <c r="B313" s="1" t="s">
        <v>16</v>
      </c>
      <c r="C313" s="1" t="s">
        <v>11</v>
      </c>
      <c r="D313" s="1" t="s">
        <v>12</v>
      </c>
      <c r="E313">
        <v>423</v>
      </c>
      <c r="F313">
        <v>85</v>
      </c>
      <c r="G313" s="1" t="s">
        <v>13</v>
      </c>
      <c r="H313" s="1" t="s">
        <v>33</v>
      </c>
      <c r="I313" s="2">
        <v>45663</v>
      </c>
    </row>
    <row r="314" spans="1:9" x14ac:dyDescent="0.35">
      <c r="A314" s="1" t="s">
        <v>340</v>
      </c>
      <c r="B314" s="1" t="s">
        <v>48</v>
      </c>
      <c r="C314" s="1" t="s">
        <v>11</v>
      </c>
      <c r="D314" s="1" t="s">
        <v>12</v>
      </c>
      <c r="E314">
        <v>1493</v>
      </c>
      <c r="F314">
        <v>281</v>
      </c>
      <c r="G314" s="1" t="s">
        <v>13</v>
      </c>
      <c r="H314" s="1" t="s">
        <v>18</v>
      </c>
      <c r="I314" s="2">
        <v>45696</v>
      </c>
    </row>
    <row r="315" spans="1:9" x14ac:dyDescent="0.35">
      <c r="A315" s="1" t="s">
        <v>341</v>
      </c>
      <c r="B315" s="1" t="s">
        <v>10</v>
      </c>
      <c r="C315" s="1" t="s">
        <v>32</v>
      </c>
      <c r="D315" s="1" t="s">
        <v>21</v>
      </c>
      <c r="E315">
        <v>487</v>
      </c>
      <c r="F315">
        <v>278</v>
      </c>
      <c r="G315" s="1" t="s">
        <v>13</v>
      </c>
      <c r="H315" s="1" t="s">
        <v>33</v>
      </c>
      <c r="I315" s="2">
        <v>45730</v>
      </c>
    </row>
    <row r="316" spans="1:9" x14ac:dyDescent="0.35">
      <c r="A316" s="1" t="s">
        <v>342</v>
      </c>
      <c r="B316" s="1" t="s">
        <v>48</v>
      </c>
      <c r="C316" s="1" t="s">
        <v>32</v>
      </c>
      <c r="D316" s="1" t="s">
        <v>21</v>
      </c>
      <c r="E316">
        <v>1539</v>
      </c>
      <c r="F316">
        <v>213</v>
      </c>
      <c r="G316" s="1" t="s">
        <v>13</v>
      </c>
      <c r="H316" s="1" t="s">
        <v>23</v>
      </c>
      <c r="I316" s="2">
        <v>45776</v>
      </c>
    </row>
    <row r="317" spans="1:9" x14ac:dyDescent="0.35">
      <c r="A317" s="1" t="s">
        <v>343</v>
      </c>
      <c r="B317" s="1" t="s">
        <v>10</v>
      </c>
      <c r="C317" s="1" t="s">
        <v>25</v>
      </c>
      <c r="D317" s="1" t="s">
        <v>12</v>
      </c>
      <c r="E317">
        <v>1668</v>
      </c>
      <c r="F317">
        <v>122</v>
      </c>
      <c r="G317" s="1" t="s">
        <v>13</v>
      </c>
      <c r="H317" s="1" t="s">
        <v>42</v>
      </c>
      <c r="I317" s="2">
        <v>45736</v>
      </c>
    </row>
    <row r="318" spans="1:9" x14ac:dyDescent="0.35">
      <c r="A318" s="1" t="s">
        <v>344</v>
      </c>
      <c r="B318" s="1" t="s">
        <v>48</v>
      </c>
      <c r="C318" s="1" t="s">
        <v>17</v>
      </c>
      <c r="D318" s="1" t="s">
        <v>12</v>
      </c>
      <c r="E318">
        <v>756</v>
      </c>
      <c r="F318">
        <v>185</v>
      </c>
      <c r="G318" s="1" t="s">
        <v>13</v>
      </c>
      <c r="H318" s="1" t="s">
        <v>42</v>
      </c>
      <c r="I318" s="2">
        <v>45688</v>
      </c>
    </row>
    <row r="319" spans="1:9" x14ac:dyDescent="0.35">
      <c r="A319" s="1" t="s">
        <v>345</v>
      </c>
      <c r="B319" s="1" t="s">
        <v>37</v>
      </c>
      <c r="C319" s="1" t="s">
        <v>25</v>
      </c>
      <c r="D319" s="1" t="s">
        <v>12</v>
      </c>
      <c r="E319">
        <v>315</v>
      </c>
      <c r="F319">
        <v>119</v>
      </c>
      <c r="G319" s="1" t="s">
        <v>13</v>
      </c>
      <c r="H319" s="1" t="s">
        <v>18</v>
      </c>
      <c r="I319" s="2">
        <v>45769</v>
      </c>
    </row>
    <row r="320" spans="1:9" x14ac:dyDescent="0.35">
      <c r="A320" s="1" t="s">
        <v>346</v>
      </c>
      <c r="B320" s="1" t="s">
        <v>16</v>
      </c>
      <c r="C320" s="1" t="s">
        <v>11</v>
      </c>
      <c r="D320" s="1" t="s">
        <v>12</v>
      </c>
      <c r="E320">
        <v>1717</v>
      </c>
      <c r="F320">
        <v>245</v>
      </c>
      <c r="G320" s="1" t="s">
        <v>13</v>
      </c>
      <c r="H320" s="1" t="s">
        <v>42</v>
      </c>
      <c r="I320" s="2">
        <v>45687</v>
      </c>
    </row>
    <row r="321" spans="1:9" x14ac:dyDescent="0.35">
      <c r="A321" s="1" t="s">
        <v>347</v>
      </c>
      <c r="B321" s="1" t="s">
        <v>10</v>
      </c>
      <c r="C321" s="1" t="s">
        <v>11</v>
      </c>
      <c r="D321" s="1" t="s">
        <v>12</v>
      </c>
      <c r="E321">
        <v>160</v>
      </c>
      <c r="F321">
        <v>318</v>
      </c>
      <c r="G321" s="1" t="s">
        <v>13</v>
      </c>
      <c r="H321" s="1" t="s">
        <v>18</v>
      </c>
      <c r="I321" s="2">
        <v>45738</v>
      </c>
    </row>
    <row r="322" spans="1:9" x14ac:dyDescent="0.35">
      <c r="A322" s="1" t="s">
        <v>348</v>
      </c>
      <c r="B322" s="1" t="s">
        <v>20</v>
      </c>
      <c r="C322" s="1" t="s">
        <v>11</v>
      </c>
      <c r="D322" s="1" t="s">
        <v>12</v>
      </c>
      <c r="E322">
        <v>1474</v>
      </c>
      <c r="F322">
        <v>98</v>
      </c>
      <c r="G322" s="1" t="s">
        <v>13</v>
      </c>
      <c r="H322" s="1" t="s">
        <v>18</v>
      </c>
      <c r="I322" s="2">
        <v>45772</v>
      </c>
    </row>
    <row r="323" spans="1:9" x14ac:dyDescent="0.35">
      <c r="A323" s="1" t="s">
        <v>349</v>
      </c>
      <c r="B323" s="1" t="s">
        <v>48</v>
      </c>
      <c r="C323" s="1" t="s">
        <v>11</v>
      </c>
      <c r="D323" s="1" t="s">
        <v>12</v>
      </c>
      <c r="E323">
        <v>878</v>
      </c>
      <c r="F323">
        <v>365</v>
      </c>
      <c r="G323" s="1" t="s">
        <v>13</v>
      </c>
      <c r="H323" s="1" t="s">
        <v>18</v>
      </c>
      <c r="I323" s="2">
        <v>45770</v>
      </c>
    </row>
    <row r="324" spans="1:9" x14ac:dyDescent="0.35">
      <c r="A324" s="1" t="s">
        <v>350</v>
      </c>
      <c r="B324" s="1" t="s">
        <v>48</v>
      </c>
      <c r="C324" s="1" t="s">
        <v>32</v>
      </c>
      <c r="D324" s="1" t="s">
        <v>12</v>
      </c>
      <c r="E324">
        <v>950</v>
      </c>
      <c r="F324">
        <v>179</v>
      </c>
      <c r="G324" s="1" t="s">
        <v>13</v>
      </c>
      <c r="H324" s="1" t="s">
        <v>42</v>
      </c>
      <c r="I324" s="2">
        <v>45728</v>
      </c>
    </row>
    <row r="325" spans="1:9" x14ac:dyDescent="0.35">
      <c r="A325" s="1" t="s">
        <v>351</v>
      </c>
      <c r="B325" s="1" t="s">
        <v>10</v>
      </c>
      <c r="C325" s="1" t="s">
        <v>11</v>
      </c>
      <c r="D325" s="1" t="s">
        <v>12</v>
      </c>
      <c r="E325">
        <v>251</v>
      </c>
      <c r="F325">
        <v>54</v>
      </c>
      <c r="G325" s="1" t="s">
        <v>13</v>
      </c>
      <c r="H325" s="1" t="s">
        <v>18</v>
      </c>
      <c r="I325" s="2">
        <v>45703</v>
      </c>
    </row>
    <row r="326" spans="1:9" x14ac:dyDescent="0.35">
      <c r="A326" s="1" t="s">
        <v>352</v>
      </c>
      <c r="B326" s="1" t="s">
        <v>20</v>
      </c>
      <c r="C326" s="1" t="s">
        <v>32</v>
      </c>
      <c r="D326" s="1" t="s">
        <v>12</v>
      </c>
      <c r="E326">
        <v>1598</v>
      </c>
      <c r="F326">
        <v>76</v>
      </c>
      <c r="G326" s="1" t="s">
        <v>13</v>
      </c>
      <c r="H326" s="1" t="s">
        <v>42</v>
      </c>
      <c r="I326" s="2">
        <v>45757</v>
      </c>
    </row>
    <row r="327" spans="1:9" x14ac:dyDescent="0.35">
      <c r="A327" s="1" t="s">
        <v>353</v>
      </c>
      <c r="B327" s="1" t="s">
        <v>20</v>
      </c>
      <c r="C327" s="1" t="s">
        <v>32</v>
      </c>
      <c r="D327" s="1" t="s">
        <v>51</v>
      </c>
      <c r="E327">
        <v>1565</v>
      </c>
      <c r="F327">
        <v>209</v>
      </c>
      <c r="G327" s="1" t="s">
        <v>13</v>
      </c>
      <c r="H327" s="1" t="s">
        <v>18</v>
      </c>
      <c r="I327" s="2">
        <v>45662</v>
      </c>
    </row>
    <row r="328" spans="1:9" x14ac:dyDescent="0.35">
      <c r="A328" s="1" t="s">
        <v>354</v>
      </c>
      <c r="B328" s="1" t="s">
        <v>37</v>
      </c>
      <c r="C328" s="1" t="s">
        <v>11</v>
      </c>
      <c r="D328" s="1" t="s">
        <v>21</v>
      </c>
      <c r="E328">
        <v>928</v>
      </c>
      <c r="F328">
        <v>198</v>
      </c>
      <c r="G328" s="1" t="s">
        <v>13</v>
      </c>
      <c r="H328" s="1" t="s">
        <v>14</v>
      </c>
      <c r="I328" s="2">
        <v>45749</v>
      </c>
    </row>
    <row r="329" spans="1:9" x14ac:dyDescent="0.35">
      <c r="A329" s="1" t="s">
        <v>355</v>
      </c>
      <c r="B329" s="1" t="s">
        <v>37</v>
      </c>
      <c r="C329" s="1" t="s">
        <v>11</v>
      </c>
      <c r="D329" s="1" t="s">
        <v>12</v>
      </c>
      <c r="E329">
        <v>363</v>
      </c>
      <c r="F329">
        <v>313</v>
      </c>
      <c r="G329" s="1" t="s">
        <v>13</v>
      </c>
      <c r="H329" s="1" t="s">
        <v>18</v>
      </c>
      <c r="I329" s="2">
        <v>45737</v>
      </c>
    </row>
    <row r="330" spans="1:9" x14ac:dyDescent="0.35">
      <c r="A330" s="1" t="s">
        <v>356</v>
      </c>
      <c r="B330" s="1" t="s">
        <v>37</v>
      </c>
      <c r="C330" s="1" t="s">
        <v>17</v>
      </c>
      <c r="D330" s="1" t="s">
        <v>21</v>
      </c>
      <c r="E330">
        <v>1864</v>
      </c>
      <c r="F330">
        <v>279</v>
      </c>
      <c r="G330" s="1" t="s">
        <v>13</v>
      </c>
      <c r="H330" s="1" t="s">
        <v>33</v>
      </c>
      <c r="I330" s="2">
        <v>45688</v>
      </c>
    </row>
    <row r="331" spans="1:9" x14ac:dyDescent="0.35">
      <c r="A331" s="1" t="s">
        <v>357</v>
      </c>
      <c r="B331" s="1" t="s">
        <v>37</v>
      </c>
      <c r="C331" s="1" t="s">
        <v>25</v>
      </c>
      <c r="D331" s="1" t="s">
        <v>12</v>
      </c>
      <c r="E331">
        <v>1261</v>
      </c>
      <c r="F331">
        <v>249</v>
      </c>
      <c r="G331" s="1" t="s">
        <v>13</v>
      </c>
      <c r="H331" s="1" t="s">
        <v>18</v>
      </c>
      <c r="I331" s="2">
        <v>45764</v>
      </c>
    </row>
    <row r="332" spans="1:9" x14ac:dyDescent="0.35">
      <c r="A332" s="1" t="s">
        <v>358</v>
      </c>
      <c r="B332" s="1" t="s">
        <v>37</v>
      </c>
      <c r="C332" s="1" t="s">
        <v>11</v>
      </c>
      <c r="D332" s="1" t="s">
        <v>21</v>
      </c>
      <c r="E332">
        <v>1726</v>
      </c>
      <c r="F332">
        <v>99</v>
      </c>
      <c r="G332" s="1" t="s">
        <v>13</v>
      </c>
      <c r="H332" s="1" t="s">
        <v>23</v>
      </c>
      <c r="I332" s="2">
        <v>45762</v>
      </c>
    </row>
    <row r="333" spans="1:9" x14ac:dyDescent="0.35">
      <c r="A333" s="1" t="s">
        <v>359</v>
      </c>
      <c r="B333" s="1" t="s">
        <v>37</v>
      </c>
      <c r="C333" s="1" t="s">
        <v>17</v>
      </c>
      <c r="D333" s="1" t="s">
        <v>21</v>
      </c>
      <c r="E333">
        <v>550</v>
      </c>
      <c r="F333">
        <v>116</v>
      </c>
      <c r="G333" s="1" t="s">
        <v>13</v>
      </c>
      <c r="H333" s="1" t="s">
        <v>18</v>
      </c>
      <c r="I333" s="2">
        <v>45755</v>
      </c>
    </row>
    <row r="334" spans="1:9" x14ac:dyDescent="0.35">
      <c r="A334" s="1" t="s">
        <v>360</v>
      </c>
      <c r="B334" s="1" t="s">
        <v>16</v>
      </c>
      <c r="C334" s="1" t="s">
        <v>17</v>
      </c>
      <c r="D334" s="1" t="s">
        <v>12</v>
      </c>
      <c r="E334">
        <v>737</v>
      </c>
      <c r="F334">
        <v>349</v>
      </c>
      <c r="G334" s="1" t="s">
        <v>13</v>
      </c>
      <c r="H334" s="1" t="s">
        <v>33</v>
      </c>
      <c r="I334" s="2">
        <v>45732</v>
      </c>
    </row>
    <row r="335" spans="1:9" x14ac:dyDescent="0.35">
      <c r="A335" s="1" t="s">
        <v>361</v>
      </c>
      <c r="B335" s="1" t="s">
        <v>20</v>
      </c>
      <c r="C335" s="1" t="s">
        <v>25</v>
      </c>
      <c r="D335" s="1" t="s">
        <v>12</v>
      </c>
      <c r="E335">
        <v>1038</v>
      </c>
      <c r="F335">
        <v>107</v>
      </c>
      <c r="G335" s="1" t="s">
        <v>13</v>
      </c>
      <c r="H335" s="1" t="s">
        <v>33</v>
      </c>
      <c r="I335" s="2">
        <v>45743</v>
      </c>
    </row>
    <row r="336" spans="1:9" x14ac:dyDescent="0.35">
      <c r="A336" s="1" t="s">
        <v>362</v>
      </c>
      <c r="B336" s="1" t="s">
        <v>37</v>
      </c>
      <c r="C336" s="1" t="s">
        <v>32</v>
      </c>
      <c r="D336" s="1" t="s">
        <v>12</v>
      </c>
      <c r="E336">
        <v>1219</v>
      </c>
      <c r="F336">
        <v>308</v>
      </c>
      <c r="G336" s="1" t="s">
        <v>13</v>
      </c>
      <c r="H336" s="1" t="s">
        <v>42</v>
      </c>
      <c r="I336" s="2">
        <v>45743</v>
      </c>
    </row>
    <row r="337" spans="1:9" x14ac:dyDescent="0.35">
      <c r="A337" s="1" t="s">
        <v>363</v>
      </c>
      <c r="B337" s="1" t="s">
        <v>20</v>
      </c>
      <c r="C337" s="1" t="s">
        <v>11</v>
      </c>
      <c r="D337" s="1" t="s">
        <v>12</v>
      </c>
      <c r="E337">
        <v>1845</v>
      </c>
      <c r="F337">
        <v>391</v>
      </c>
      <c r="G337" s="1" t="s">
        <v>13</v>
      </c>
      <c r="H337" s="1" t="s">
        <v>14</v>
      </c>
      <c r="I337" s="2">
        <v>45660</v>
      </c>
    </row>
    <row r="338" spans="1:9" x14ac:dyDescent="0.35">
      <c r="A338" s="1" t="s">
        <v>364</v>
      </c>
      <c r="B338" s="1" t="s">
        <v>20</v>
      </c>
      <c r="C338" s="1" t="s">
        <v>25</v>
      </c>
      <c r="D338" s="1" t="s">
        <v>12</v>
      </c>
      <c r="E338">
        <v>1636</v>
      </c>
      <c r="F338">
        <v>375</v>
      </c>
      <c r="G338" s="1" t="s">
        <v>13</v>
      </c>
      <c r="H338" s="1" t="s">
        <v>18</v>
      </c>
      <c r="I338" s="2">
        <v>45685</v>
      </c>
    </row>
    <row r="339" spans="1:9" x14ac:dyDescent="0.35">
      <c r="A339" s="1" t="s">
        <v>365</v>
      </c>
      <c r="B339" s="1" t="s">
        <v>27</v>
      </c>
      <c r="C339" s="1" t="s">
        <v>11</v>
      </c>
      <c r="D339" s="1" t="s">
        <v>12</v>
      </c>
      <c r="E339">
        <v>741</v>
      </c>
      <c r="F339">
        <v>179</v>
      </c>
      <c r="G339" s="1" t="s">
        <v>13</v>
      </c>
      <c r="H339" s="1" t="s">
        <v>42</v>
      </c>
      <c r="I339" s="2">
        <v>45660</v>
      </c>
    </row>
    <row r="340" spans="1:9" x14ac:dyDescent="0.35">
      <c r="A340" s="1" t="s">
        <v>366</v>
      </c>
      <c r="B340" s="1" t="s">
        <v>16</v>
      </c>
      <c r="C340" s="1" t="s">
        <v>17</v>
      </c>
      <c r="D340" s="1" t="s">
        <v>12</v>
      </c>
      <c r="E340">
        <v>1483</v>
      </c>
      <c r="F340">
        <v>264</v>
      </c>
      <c r="G340" s="1" t="s">
        <v>13</v>
      </c>
      <c r="H340" s="1" t="s">
        <v>14</v>
      </c>
      <c r="I340" s="2">
        <v>45681</v>
      </c>
    </row>
    <row r="341" spans="1:9" x14ac:dyDescent="0.35">
      <c r="A341" s="1" t="s">
        <v>367</v>
      </c>
      <c r="B341" s="1" t="s">
        <v>37</v>
      </c>
      <c r="C341" s="1" t="s">
        <v>17</v>
      </c>
      <c r="D341" s="1" t="s">
        <v>21</v>
      </c>
      <c r="E341">
        <v>1259</v>
      </c>
      <c r="F341">
        <v>221</v>
      </c>
      <c r="G341" s="1" t="s">
        <v>13</v>
      </c>
      <c r="H341" s="1" t="s">
        <v>18</v>
      </c>
      <c r="I341" s="2">
        <v>45737</v>
      </c>
    </row>
    <row r="342" spans="1:9" x14ac:dyDescent="0.35">
      <c r="A342" s="1" t="s">
        <v>368</v>
      </c>
      <c r="B342" s="1" t="s">
        <v>48</v>
      </c>
      <c r="C342" s="1" t="s">
        <v>32</v>
      </c>
      <c r="D342" s="1" t="s">
        <v>51</v>
      </c>
      <c r="E342">
        <v>241</v>
      </c>
      <c r="F342">
        <v>307</v>
      </c>
      <c r="G342" s="1" t="s">
        <v>13</v>
      </c>
      <c r="H342" s="1" t="s">
        <v>23</v>
      </c>
      <c r="I342" s="2">
        <v>45716</v>
      </c>
    </row>
    <row r="343" spans="1:9" x14ac:dyDescent="0.35">
      <c r="A343" s="1" t="s">
        <v>369</v>
      </c>
      <c r="B343" s="1" t="s">
        <v>10</v>
      </c>
      <c r="C343" s="1" t="s">
        <v>17</v>
      </c>
      <c r="D343" s="1" t="s">
        <v>12</v>
      </c>
      <c r="E343">
        <v>1833</v>
      </c>
      <c r="F343">
        <v>151</v>
      </c>
      <c r="G343" s="1" t="s">
        <v>13</v>
      </c>
      <c r="H343" s="1" t="s">
        <v>18</v>
      </c>
      <c r="I343" s="2">
        <v>45736</v>
      </c>
    </row>
    <row r="344" spans="1:9" x14ac:dyDescent="0.35">
      <c r="A344" s="1" t="s">
        <v>370</v>
      </c>
      <c r="B344" s="1" t="s">
        <v>48</v>
      </c>
      <c r="C344" s="1" t="s">
        <v>17</v>
      </c>
      <c r="D344" s="1" t="s">
        <v>12</v>
      </c>
      <c r="E344">
        <v>822</v>
      </c>
      <c r="F344">
        <v>258</v>
      </c>
      <c r="G344" s="1" t="s">
        <v>13</v>
      </c>
      <c r="H344" s="1" t="s">
        <v>33</v>
      </c>
      <c r="I344" s="2">
        <v>45720</v>
      </c>
    </row>
    <row r="345" spans="1:9" x14ac:dyDescent="0.35">
      <c r="A345" s="1" t="s">
        <v>371</v>
      </c>
      <c r="B345" s="1" t="s">
        <v>16</v>
      </c>
      <c r="C345" s="1" t="s">
        <v>25</v>
      </c>
      <c r="D345" s="1" t="s">
        <v>12</v>
      </c>
      <c r="E345">
        <v>863</v>
      </c>
      <c r="F345">
        <v>340</v>
      </c>
      <c r="G345" s="1" t="s">
        <v>13</v>
      </c>
      <c r="H345" s="1" t="s">
        <v>33</v>
      </c>
      <c r="I345" s="2">
        <v>45762</v>
      </c>
    </row>
    <row r="346" spans="1:9" x14ac:dyDescent="0.35">
      <c r="A346" s="1" t="s">
        <v>372</v>
      </c>
      <c r="B346" s="1" t="s">
        <v>10</v>
      </c>
      <c r="C346" s="1" t="s">
        <v>11</v>
      </c>
      <c r="D346" s="1" t="s">
        <v>12</v>
      </c>
      <c r="E346">
        <v>1085</v>
      </c>
      <c r="F346">
        <v>335</v>
      </c>
      <c r="G346" s="1" t="s">
        <v>13</v>
      </c>
      <c r="H346" s="1" t="s">
        <v>23</v>
      </c>
      <c r="I346" s="2">
        <v>45775</v>
      </c>
    </row>
    <row r="347" spans="1:9" x14ac:dyDescent="0.35">
      <c r="A347" s="1" t="s">
        <v>373</v>
      </c>
      <c r="B347" s="1" t="s">
        <v>16</v>
      </c>
      <c r="C347" s="1" t="s">
        <v>11</v>
      </c>
      <c r="D347" s="1" t="s">
        <v>51</v>
      </c>
      <c r="E347">
        <v>391</v>
      </c>
      <c r="F347">
        <v>165</v>
      </c>
      <c r="G347" s="1" t="s">
        <v>13</v>
      </c>
      <c r="H347" s="1" t="s">
        <v>42</v>
      </c>
      <c r="I347" s="2">
        <v>45680</v>
      </c>
    </row>
    <row r="348" spans="1:9" x14ac:dyDescent="0.35">
      <c r="A348" s="1" t="s">
        <v>374</v>
      </c>
      <c r="B348" s="1" t="s">
        <v>20</v>
      </c>
      <c r="C348" s="1" t="s">
        <v>25</v>
      </c>
      <c r="D348" s="1" t="s">
        <v>12</v>
      </c>
      <c r="E348">
        <v>151</v>
      </c>
      <c r="F348">
        <v>313</v>
      </c>
      <c r="G348" s="1" t="s">
        <v>13</v>
      </c>
      <c r="H348" s="1" t="s">
        <v>14</v>
      </c>
      <c r="I348" s="2">
        <v>45762</v>
      </c>
    </row>
    <row r="349" spans="1:9" x14ac:dyDescent="0.35">
      <c r="A349" s="1" t="s">
        <v>375</v>
      </c>
      <c r="B349" s="1" t="s">
        <v>10</v>
      </c>
      <c r="C349" s="1" t="s">
        <v>32</v>
      </c>
      <c r="D349" s="1" t="s">
        <v>12</v>
      </c>
      <c r="E349">
        <v>374</v>
      </c>
      <c r="F349">
        <v>199</v>
      </c>
      <c r="G349" s="1" t="s">
        <v>13</v>
      </c>
      <c r="H349" s="1" t="s">
        <v>18</v>
      </c>
      <c r="I349" s="2">
        <v>45668</v>
      </c>
    </row>
    <row r="350" spans="1:9" x14ac:dyDescent="0.35">
      <c r="A350" s="1" t="s">
        <v>376</v>
      </c>
      <c r="B350" s="1" t="s">
        <v>20</v>
      </c>
      <c r="C350" s="1" t="s">
        <v>11</v>
      </c>
      <c r="D350" s="1" t="s">
        <v>12</v>
      </c>
      <c r="E350">
        <v>950</v>
      </c>
      <c r="F350">
        <v>349</v>
      </c>
      <c r="G350" s="1" t="s">
        <v>13</v>
      </c>
      <c r="H350" s="1" t="s">
        <v>33</v>
      </c>
      <c r="I350" s="2">
        <v>45665</v>
      </c>
    </row>
    <row r="351" spans="1:9" x14ac:dyDescent="0.35">
      <c r="A351" s="1" t="s">
        <v>377</v>
      </c>
      <c r="B351" s="1" t="s">
        <v>48</v>
      </c>
      <c r="C351" s="1" t="s">
        <v>17</v>
      </c>
      <c r="D351" s="1" t="s">
        <v>12</v>
      </c>
      <c r="E351">
        <v>1918</v>
      </c>
      <c r="F351">
        <v>85</v>
      </c>
      <c r="G351" s="1" t="s">
        <v>13</v>
      </c>
      <c r="H351" s="1" t="s">
        <v>42</v>
      </c>
      <c r="I351" s="2">
        <v>45773</v>
      </c>
    </row>
    <row r="352" spans="1:9" x14ac:dyDescent="0.35">
      <c r="A352" s="1" t="s">
        <v>378</v>
      </c>
      <c r="B352" s="1" t="s">
        <v>48</v>
      </c>
      <c r="C352" s="1" t="s">
        <v>11</v>
      </c>
      <c r="D352" s="1" t="s">
        <v>12</v>
      </c>
      <c r="E352">
        <v>738</v>
      </c>
      <c r="F352">
        <v>382</v>
      </c>
      <c r="G352" s="1" t="s">
        <v>13</v>
      </c>
      <c r="H352" s="1" t="s">
        <v>23</v>
      </c>
      <c r="I352" s="2">
        <v>45699</v>
      </c>
    </row>
    <row r="353" spans="1:9" x14ac:dyDescent="0.35">
      <c r="A353" s="1" t="s">
        <v>379</v>
      </c>
      <c r="B353" s="1" t="s">
        <v>10</v>
      </c>
      <c r="C353" s="1" t="s">
        <v>17</v>
      </c>
      <c r="D353" s="1" t="s">
        <v>21</v>
      </c>
      <c r="E353">
        <v>265</v>
      </c>
      <c r="F353">
        <v>336</v>
      </c>
      <c r="G353" s="1" t="s">
        <v>13</v>
      </c>
      <c r="H353" s="1" t="s">
        <v>33</v>
      </c>
      <c r="I353" s="2">
        <v>45721</v>
      </c>
    </row>
    <row r="354" spans="1:9" x14ac:dyDescent="0.35">
      <c r="A354" s="1" t="s">
        <v>380</v>
      </c>
      <c r="B354" s="1" t="s">
        <v>10</v>
      </c>
      <c r="C354" s="1" t="s">
        <v>32</v>
      </c>
      <c r="D354" s="1" t="s">
        <v>12</v>
      </c>
      <c r="E354">
        <v>1839</v>
      </c>
      <c r="F354">
        <v>352</v>
      </c>
      <c r="G354" s="1" t="s">
        <v>13</v>
      </c>
      <c r="H354" s="1" t="s">
        <v>23</v>
      </c>
      <c r="I354" s="2">
        <v>45746</v>
      </c>
    </row>
    <row r="355" spans="1:9" x14ac:dyDescent="0.35">
      <c r="A355" s="1" t="s">
        <v>381</v>
      </c>
      <c r="B355" s="1" t="s">
        <v>37</v>
      </c>
      <c r="C355" s="1" t="s">
        <v>25</v>
      </c>
      <c r="D355" s="1" t="s">
        <v>12</v>
      </c>
      <c r="E355">
        <v>1067</v>
      </c>
      <c r="F355">
        <v>360</v>
      </c>
      <c r="G355" s="1" t="s">
        <v>13</v>
      </c>
      <c r="H355" s="1" t="s">
        <v>18</v>
      </c>
      <c r="I355" s="2">
        <v>45775</v>
      </c>
    </row>
    <row r="356" spans="1:9" x14ac:dyDescent="0.35">
      <c r="A356" s="1" t="s">
        <v>382</v>
      </c>
      <c r="B356" s="1" t="s">
        <v>16</v>
      </c>
      <c r="C356" s="1" t="s">
        <v>11</v>
      </c>
      <c r="D356" s="1" t="s">
        <v>12</v>
      </c>
      <c r="E356">
        <v>1276</v>
      </c>
      <c r="F356">
        <v>257</v>
      </c>
      <c r="G356" s="1" t="s">
        <v>13</v>
      </c>
      <c r="H356" s="1" t="s">
        <v>14</v>
      </c>
      <c r="I356" s="2">
        <v>45740</v>
      </c>
    </row>
    <row r="357" spans="1:9" x14ac:dyDescent="0.35">
      <c r="A357" s="1" t="s">
        <v>383</v>
      </c>
      <c r="B357" s="1" t="s">
        <v>37</v>
      </c>
      <c r="C357" s="1" t="s">
        <v>25</v>
      </c>
      <c r="D357" s="1" t="s">
        <v>51</v>
      </c>
      <c r="E357">
        <v>343</v>
      </c>
      <c r="F357">
        <v>155</v>
      </c>
      <c r="G357" s="1" t="s">
        <v>13</v>
      </c>
      <c r="H357" s="1" t="s">
        <v>33</v>
      </c>
      <c r="I357" s="2">
        <v>45670</v>
      </c>
    </row>
    <row r="358" spans="1:9" x14ac:dyDescent="0.35">
      <c r="A358" s="1" t="s">
        <v>384</v>
      </c>
      <c r="B358" s="1" t="s">
        <v>16</v>
      </c>
      <c r="C358" s="1" t="s">
        <v>11</v>
      </c>
      <c r="D358" s="1" t="s">
        <v>21</v>
      </c>
      <c r="E358">
        <v>1339</v>
      </c>
      <c r="F358">
        <v>207</v>
      </c>
      <c r="G358" s="1" t="s">
        <v>13</v>
      </c>
      <c r="H358" s="1" t="s">
        <v>33</v>
      </c>
      <c r="I358" s="2">
        <v>45754</v>
      </c>
    </row>
    <row r="359" spans="1:9" x14ac:dyDescent="0.35">
      <c r="A359" s="1" t="s">
        <v>385</v>
      </c>
      <c r="B359" s="1" t="s">
        <v>37</v>
      </c>
      <c r="C359" s="1" t="s">
        <v>17</v>
      </c>
      <c r="D359" s="1" t="s">
        <v>12</v>
      </c>
      <c r="E359">
        <v>1020</v>
      </c>
      <c r="F359">
        <v>170</v>
      </c>
      <c r="G359" s="1" t="s">
        <v>13</v>
      </c>
      <c r="H359" s="1" t="s">
        <v>18</v>
      </c>
      <c r="I359" s="2">
        <v>45756</v>
      </c>
    </row>
    <row r="360" spans="1:9" x14ac:dyDescent="0.35">
      <c r="A360" s="1" t="s">
        <v>386</v>
      </c>
      <c r="B360" s="1" t="s">
        <v>20</v>
      </c>
      <c r="C360" s="1" t="s">
        <v>25</v>
      </c>
      <c r="D360" s="1" t="s">
        <v>12</v>
      </c>
      <c r="E360">
        <v>239</v>
      </c>
      <c r="F360">
        <v>104</v>
      </c>
      <c r="G360" s="1" t="s">
        <v>13</v>
      </c>
      <c r="H360" s="1" t="s">
        <v>42</v>
      </c>
      <c r="I360" s="2">
        <v>45777</v>
      </c>
    </row>
    <row r="361" spans="1:9" x14ac:dyDescent="0.35">
      <c r="A361" s="1" t="s">
        <v>387</v>
      </c>
      <c r="B361" s="1" t="s">
        <v>10</v>
      </c>
      <c r="C361" s="1" t="s">
        <v>11</v>
      </c>
      <c r="D361" s="1" t="s">
        <v>12</v>
      </c>
      <c r="E361">
        <v>1859</v>
      </c>
      <c r="F361">
        <v>61</v>
      </c>
      <c r="G361" s="1" t="s">
        <v>13</v>
      </c>
      <c r="H361" s="1" t="s">
        <v>14</v>
      </c>
      <c r="I361" s="2">
        <v>45679</v>
      </c>
    </row>
    <row r="362" spans="1:9" x14ac:dyDescent="0.35">
      <c r="A362" s="1" t="s">
        <v>388</v>
      </c>
      <c r="B362" s="1" t="s">
        <v>48</v>
      </c>
      <c r="C362" s="1" t="s">
        <v>17</v>
      </c>
      <c r="D362" s="1" t="s">
        <v>12</v>
      </c>
      <c r="E362">
        <v>271</v>
      </c>
      <c r="F362">
        <v>194</v>
      </c>
      <c r="G362" s="1" t="s">
        <v>13</v>
      </c>
      <c r="H362" s="1" t="s">
        <v>33</v>
      </c>
      <c r="I362" s="2">
        <v>45765</v>
      </c>
    </row>
    <row r="363" spans="1:9" x14ac:dyDescent="0.35">
      <c r="A363" s="1" t="s">
        <v>389</v>
      </c>
      <c r="B363" s="1" t="s">
        <v>16</v>
      </c>
      <c r="C363" s="1" t="s">
        <v>25</v>
      </c>
      <c r="D363" s="1" t="s">
        <v>51</v>
      </c>
      <c r="E363">
        <v>292</v>
      </c>
      <c r="F363">
        <v>185</v>
      </c>
      <c r="G363" s="1" t="s">
        <v>13</v>
      </c>
      <c r="H363" s="1" t="s">
        <v>14</v>
      </c>
      <c r="I363" s="2">
        <v>45678</v>
      </c>
    </row>
    <row r="364" spans="1:9" x14ac:dyDescent="0.35">
      <c r="A364" s="1" t="s">
        <v>390</v>
      </c>
      <c r="B364" s="1" t="s">
        <v>16</v>
      </c>
      <c r="C364" s="1" t="s">
        <v>25</v>
      </c>
      <c r="D364" s="1" t="s">
        <v>12</v>
      </c>
      <c r="E364">
        <v>1143</v>
      </c>
      <c r="F364">
        <v>52</v>
      </c>
      <c r="G364" s="1" t="s">
        <v>13</v>
      </c>
      <c r="H364" s="1" t="s">
        <v>33</v>
      </c>
      <c r="I364" s="2">
        <v>45721</v>
      </c>
    </row>
    <row r="365" spans="1:9" x14ac:dyDescent="0.35">
      <c r="A365" s="1" t="s">
        <v>391</v>
      </c>
      <c r="B365" s="1" t="s">
        <v>48</v>
      </c>
      <c r="C365" s="1" t="s">
        <v>11</v>
      </c>
      <c r="D365" s="1" t="s">
        <v>12</v>
      </c>
      <c r="E365">
        <v>255</v>
      </c>
      <c r="F365">
        <v>193</v>
      </c>
      <c r="G365" s="1" t="s">
        <v>13</v>
      </c>
      <c r="H365" s="1" t="s">
        <v>14</v>
      </c>
      <c r="I365" s="2">
        <v>45763</v>
      </c>
    </row>
    <row r="366" spans="1:9" x14ac:dyDescent="0.35">
      <c r="A366" s="1" t="s">
        <v>392</v>
      </c>
      <c r="B366" s="1" t="s">
        <v>37</v>
      </c>
      <c r="C366" s="1" t="s">
        <v>11</v>
      </c>
      <c r="D366" s="1" t="s">
        <v>12</v>
      </c>
      <c r="E366">
        <v>1036</v>
      </c>
      <c r="F366">
        <v>79</v>
      </c>
      <c r="G366" s="1" t="s">
        <v>13</v>
      </c>
      <c r="H366" s="1" t="s">
        <v>23</v>
      </c>
      <c r="I366" s="2">
        <v>45703</v>
      </c>
    </row>
    <row r="367" spans="1:9" x14ac:dyDescent="0.35">
      <c r="A367" s="1" t="s">
        <v>393</v>
      </c>
      <c r="B367" s="1" t="s">
        <v>16</v>
      </c>
      <c r="C367" s="1" t="s">
        <v>11</v>
      </c>
      <c r="D367" s="1" t="s">
        <v>12</v>
      </c>
      <c r="E367">
        <v>577</v>
      </c>
      <c r="F367">
        <v>286</v>
      </c>
      <c r="G367" s="1" t="s">
        <v>13</v>
      </c>
      <c r="H367" s="1" t="s">
        <v>33</v>
      </c>
      <c r="I367" s="2">
        <v>45720</v>
      </c>
    </row>
    <row r="368" spans="1:9" x14ac:dyDescent="0.35">
      <c r="A368" s="1" t="s">
        <v>394</v>
      </c>
      <c r="B368" s="1" t="s">
        <v>20</v>
      </c>
      <c r="C368" s="1" t="s">
        <v>17</v>
      </c>
      <c r="D368" s="1" t="s">
        <v>12</v>
      </c>
      <c r="E368">
        <v>1478</v>
      </c>
      <c r="F368">
        <v>328</v>
      </c>
      <c r="G368" s="1" t="s">
        <v>13</v>
      </c>
      <c r="H368" s="1" t="s">
        <v>14</v>
      </c>
      <c r="I368" s="2">
        <v>45764</v>
      </c>
    </row>
    <row r="369" spans="1:9" x14ac:dyDescent="0.35">
      <c r="A369" s="1" t="s">
        <v>395</v>
      </c>
      <c r="B369" s="1" t="s">
        <v>10</v>
      </c>
      <c r="C369" s="1" t="s">
        <v>11</v>
      </c>
      <c r="D369" s="1" t="s">
        <v>21</v>
      </c>
      <c r="E369">
        <v>466</v>
      </c>
      <c r="F369">
        <v>397</v>
      </c>
      <c r="G369" s="1" t="s">
        <v>13</v>
      </c>
      <c r="H369" s="1" t="s">
        <v>42</v>
      </c>
      <c r="I369" s="2">
        <v>45690</v>
      </c>
    </row>
    <row r="370" spans="1:9" x14ac:dyDescent="0.35">
      <c r="A370" s="1" t="s">
        <v>396</v>
      </c>
      <c r="B370" s="1" t="s">
        <v>48</v>
      </c>
      <c r="C370" s="1" t="s">
        <v>25</v>
      </c>
      <c r="D370" s="1" t="s">
        <v>12</v>
      </c>
      <c r="E370">
        <v>784</v>
      </c>
      <c r="F370">
        <v>164</v>
      </c>
      <c r="G370" s="1" t="s">
        <v>13</v>
      </c>
      <c r="H370" s="1" t="s">
        <v>23</v>
      </c>
      <c r="I370" s="2">
        <v>45750</v>
      </c>
    </row>
    <row r="371" spans="1:9" x14ac:dyDescent="0.35">
      <c r="A371" s="1" t="s">
        <v>397</v>
      </c>
      <c r="B371" s="1" t="s">
        <v>10</v>
      </c>
      <c r="C371" s="1" t="s">
        <v>25</v>
      </c>
      <c r="D371" s="1" t="s">
        <v>12</v>
      </c>
      <c r="E371">
        <v>158</v>
      </c>
      <c r="F371">
        <v>153</v>
      </c>
      <c r="G371" s="1" t="s">
        <v>13</v>
      </c>
      <c r="H371" s="1" t="s">
        <v>23</v>
      </c>
      <c r="I371" s="2">
        <v>45770</v>
      </c>
    </row>
    <row r="372" spans="1:9" x14ac:dyDescent="0.35">
      <c r="A372" s="1" t="s">
        <v>398</v>
      </c>
      <c r="B372" s="1" t="s">
        <v>16</v>
      </c>
      <c r="C372" s="1" t="s">
        <v>11</v>
      </c>
      <c r="D372" s="1" t="s">
        <v>12</v>
      </c>
      <c r="E372">
        <v>923</v>
      </c>
      <c r="F372">
        <v>167</v>
      </c>
      <c r="G372" s="1" t="s">
        <v>13</v>
      </c>
      <c r="H372" s="1" t="s">
        <v>42</v>
      </c>
      <c r="I372" s="2">
        <v>45764</v>
      </c>
    </row>
    <row r="373" spans="1:9" x14ac:dyDescent="0.35">
      <c r="A373" s="1" t="s">
        <v>399</v>
      </c>
      <c r="B373" s="1" t="s">
        <v>16</v>
      </c>
      <c r="C373" s="1" t="s">
        <v>11</v>
      </c>
      <c r="D373" s="1" t="s">
        <v>12</v>
      </c>
      <c r="E373">
        <v>1246</v>
      </c>
      <c r="F373">
        <v>54</v>
      </c>
      <c r="G373" s="1" t="s">
        <v>13</v>
      </c>
      <c r="H373" s="1" t="s">
        <v>14</v>
      </c>
      <c r="I373" s="2">
        <v>45671</v>
      </c>
    </row>
    <row r="374" spans="1:9" x14ac:dyDescent="0.35">
      <c r="A374" s="1" t="s">
        <v>400</v>
      </c>
      <c r="B374" s="1" t="s">
        <v>48</v>
      </c>
      <c r="C374" s="1" t="s">
        <v>32</v>
      </c>
      <c r="D374" s="1" t="s">
        <v>12</v>
      </c>
      <c r="E374">
        <v>1532</v>
      </c>
      <c r="F374">
        <v>297</v>
      </c>
      <c r="G374" s="1" t="s">
        <v>13</v>
      </c>
      <c r="H374" s="1" t="s">
        <v>18</v>
      </c>
      <c r="I374" s="2">
        <v>45710</v>
      </c>
    </row>
    <row r="375" spans="1:9" x14ac:dyDescent="0.35">
      <c r="A375" s="1" t="s">
        <v>401</v>
      </c>
      <c r="B375" s="1" t="s">
        <v>20</v>
      </c>
      <c r="C375" s="1" t="s">
        <v>25</v>
      </c>
      <c r="D375" s="1" t="s">
        <v>12</v>
      </c>
      <c r="E375">
        <v>372</v>
      </c>
      <c r="F375">
        <v>370</v>
      </c>
      <c r="G375" s="1" t="s">
        <v>13</v>
      </c>
      <c r="H375" s="1" t="s">
        <v>42</v>
      </c>
      <c r="I375" s="2">
        <v>45703</v>
      </c>
    </row>
    <row r="376" spans="1:9" x14ac:dyDescent="0.35">
      <c r="A376" s="1" t="s">
        <v>402</v>
      </c>
      <c r="B376" s="1" t="s">
        <v>27</v>
      </c>
      <c r="C376" s="1" t="s">
        <v>17</v>
      </c>
      <c r="D376" s="1" t="s">
        <v>21</v>
      </c>
      <c r="E376">
        <v>1589</v>
      </c>
      <c r="F376">
        <v>170</v>
      </c>
      <c r="G376" s="1" t="s">
        <v>13</v>
      </c>
      <c r="H376" s="1" t="s">
        <v>14</v>
      </c>
      <c r="I376" s="2">
        <v>45680</v>
      </c>
    </row>
    <row r="377" spans="1:9" x14ac:dyDescent="0.35">
      <c r="A377" s="1" t="s">
        <v>403</v>
      </c>
      <c r="B377" s="1" t="s">
        <v>48</v>
      </c>
      <c r="C377" s="1" t="s">
        <v>32</v>
      </c>
      <c r="D377" s="1" t="s">
        <v>12</v>
      </c>
      <c r="E377">
        <v>702</v>
      </c>
      <c r="F377">
        <v>335</v>
      </c>
      <c r="G377" s="1" t="s">
        <v>13</v>
      </c>
      <c r="H377" s="1" t="s">
        <v>42</v>
      </c>
      <c r="I377" s="2">
        <v>45777</v>
      </c>
    </row>
    <row r="378" spans="1:9" x14ac:dyDescent="0.35">
      <c r="A378" s="1" t="s">
        <v>404</v>
      </c>
      <c r="B378" s="1" t="s">
        <v>27</v>
      </c>
      <c r="C378" s="1" t="s">
        <v>11</v>
      </c>
      <c r="D378" s="1" t="s">
        <v>12</v>
      </c>
      <c r="E378">
        <v>1543</v>
      </c>
      <c r="F378">
        <v>198</v>
      </c>
      <c r="G378" s="1" t="s">
        <v>13</v>
      </c>
      <c r="H378" s="1" t="s">
        <v>42</v>
      </c>
      <c r="I378" s="2">
        <v>45778</v>
      </c>
    </row>
    <row r="379" spans="1:9" x14ac:dyDescent="0.35">
      <c r="A379" s="1" t="s">
        <v>405</v>
      </c>
      <c r="B379" s="1" t="s">
        <v>37</v>
      </c>
      <c r="C379" s="1" t="s">
        <v>11</v>
      </c>
      <c r="D379" s="1" t="s">
        <v>12</v>
      </c>
      <c r="E379">
        <v>865</v>
      </c>
      <c r="F379">
        <v>133</v>
      </c>
      <c r="G379" s="1" t="s">
        <v>13</v>
      </c>
      <c r="H379" s="1" t="s">
        <v>33</v>
      </c>
      <c r="I379" s="2">
        <v>45665</v>
      </c>
    </row>
    <row r="380" spans="1:9" x14ac:dyDescent="0.35">
      <c r="A380" s="1" t="s">
        <v>406</v>
      </c>
      <c r="B380" s="1" t="s">
        <v>27</v>
      </c>
      <c r="C380" s="1" t="s">
        <v>25</v>
      </c>
      <c r="D380" s="1" t="s">
        <v>12</v>
      </c>
      <c r="E380">
        <v>1437</v>
      </c>
      <c r="F380">
        <v>280</v>
      </c>
      <c r="G380" s="1" t="s">
        <v>13</v>
      </c>
      <c r="H380" s="1" t="s">
        <v>14</v>
      </c>
      <c r="I380" s="2">
        <v>45659</v>
      </c>
    </row>
    <row r="381" spans="1:9" x14ac:dyDescent="0.35">
      <c r="A381" s="1" t="s">
        <v>407</v>
      </c>
      <c r="B381" s="1" t="s">
        <v>20</v>
      </c>
      <c r="C381" s="1" t="s">
        <v>11</v>
      </c>
      <c r="D381" s="1" t="s">
        <v>51</v>
      </c>
      <c r="E381">
        <v>1863</v>
      </c>
      <c r="F381">
        <v>337</v>
      </c>
      <c r="G381" s="1" t="s">
        <v>13</v>
      </c>
      <c r="H381" s="1" t="s">
        <v>18</v>
      </c>
      <c r="I381" s="2">
        <v>45738</v>
      </c>
    </row>
    <row r="382" spans="1:9" x14ac:dyDescent="0.35">
      <c r="A382" s="1" t="s">
        <v>408</v>
      </c>
      <c r="B382" s="1" t="s">
        <v>37</v>
      </c>
      <c r="C382" s="1" t="s">
        <v>17</v>
      </c>
      <c r="D382" s="1" t="s">
        <v>21</v>
      </c>
      <c r="E382">
        <v>1491</v>
      </c>
      <c r="F382">
        <v>210</v>
      </c>
      <c r="G382" s="1" t="s">
        <v>13</v>
      </c>
      <c r="H382" s="1" t="s">
        <v>33</v>
      </c>
      <c r="I382" s="2">
        <v>45668</v>
      </c>
    </row>
    <row r="383" spans="1:9" x14ac:dyDescent="0.35">
      <c r="A383" s="1" t="s">
        <v>409</v>
      </c>
      <c r="B383" s="1" t="s">
        <v>27</v>
      </c>
      <c r="C383" s="1" t="s">
        <v>25</v>
      </c>
      <c r="D383" s="1" t="s">
        <v>12</v>
      </c>
      <c r="E383">
        <v>1257</v>
      </c>
      <c r="F383">
        <v>321</v>
      </c>
      <c r="G383" s="1" t="s">
        <v>13</v>
      </c>
      <c r="H383" s="1" t="s">
        <v>42</v>
      </c>
      <c r="I383" s="2">
        <v>45668</v>
      </c>
    </row>
    <row r="384" spans="1:9" x14ac:dyDescent="0.35">
      <c r="A384" s="1" t="s">
        <v>410</v>
      </c>
      <c r="B384" s="1" t="s">
        <v>37</v>
      </c>
      <c r="C384" s="1" t="s">
        <v>11</v>
      </c>
      <c r="D384" s="1" t="s">
        <v>12</v>
      </c>
      <c r="E384">
        <v>1491</v>
      </c>
      <c r="F384">
        <v>87</v>
      </c>
      <c r="G384" s="1" t="s">
        <v>13</v>
      </c>
      <c r="H384" s="1" t="s">
        <v>42</v>
      </c>
      <c r="I384" s="2">
        <v>45673</v>
      </c>
    </row>
    <row r="385" spans="1:9" x14ac:dyDescent="0.35">
      <c r="A385" s="1" t="s">
        <v>411</v>
      </c>
      <c r="B385" s="1" t="s">
        <v>27</v>
      </c>
      <c r="C385" s="1" t="s">
        <v>25</v>
      </c>
      <c r="D385" s="1" t="s">
        <v>12</v>
      </c>
      <c r="E385">
        <v>260</v>
      </c>
      <c r="F385">
        <v>275</v>
      </c>
      <c r="G385" s="1" t="s">
        <v>13</v>
      </c>
      <c r="H385" s="1" t="s">
        <v>42</v>
      </c>
      <c r="I385" s="2">
        <v>45686</v>
      </c>
    </row>
    <row r="386" spans="1:9" x14ac:dyDescent="0.35">
      <c r="A386" s="1" t="s">
        <v>412</v>
      </c>
      <c r="B386" s="1" t="s">
        <v>20</v>
      </c>
      <c r="C386" s="1" t="s">
        <v>11</v>
      </c>
      <c r="D386" s="1" t="s">
        <v>12</v>
      </c>
      <c r="E386">
        <v>400</v>
      </c>
      <c r="F386">
        <v>191</v>
      </c>
      <c r="G386" s="1" t="s">
        <v>13</v>
      </c>
      <c r="H386" s="1" t="s">
        <v>14</v>
      </c>
      <c r="I386" s="2">
        <v>45673</v>
      </c>
    </row>
    <row r="387" spans="1:9" x14ac:dyDescent="0.35">
      <c r="A387" s="1" t="s">
        <v>413</v>
      </c>
      <c r="B387" s="1" t="s">
        <v>27</v>
      </c>
      <c r="C387" s="1" t="s">
        <v>11</v>
      </c>
      <c r="D387" s="1" t="s">
        <v>12</v>
      </c>
      <c r="E387">
        <v>532</v>
      </c>
      <c r="F387">
        <v>341</v>
      </c>
      <c r="G387" s="1" t="s">
        <v>13</v>
      </c>
      <c r="H387" s="1" t="s">
        <v>14</v>
      </c>
      <c r="I387" s="2">
        <v>45764</v>
      </c>
    </row>
    <row r="388" spans="1:9" x14ac:dyDescent="0.35">
      <c r="A388" s="1" t="s">
        <v>414</v>
      </c>
      <c r="B388" s="1" t="s">
        <v>27</v>
      </c>
      <c r="C388" s="1" t="s">
        <v>11</v>
      </c>
      <c r="D388" s="1" t="s">
        <v>12</v>
      </c>
      <c r="E388">
        <v>156</v>
      </c>
      <c r="F388">
        <v>200</v>
      </c>
      <c r="G388" s="1" t="s">
        <v>13</v>
      </c>
      <c r="H388" s="1" t="s">
        <v>33</v>
      </c>
      <c r="I388" s="2">
        <v>45767</v>
      </c>
    </row>
    <row r="389" spans="1:9" x14ac:dyDescent="0.35">
      <c r="A389" s="1" t="s">
        <v>415</v>
      </c>
      <c r="B389" s="1" t="s">
        <v>27</v>
      </c>
      <c r="C389" s="1" t="s">
        <v>17</v>
      </c>
      <c r="D389" s="1" t="s">
        <v>12</v>
      </c>
      <c r="E389">
        <v>608</v>
      </c>
      <c r="F389">
        <v>163</v>
      </c>
      <c r="G389" s="1" t="s">
        <v>13</v>
      </c>
      <c r="H389" s="1" t="s">
        <v>18</v>
      </c>
      <c r="I389" s="2">
        <v>45775</v>
      </c>
    </row>
    <row r="390" spans="1:9" x14ac:dyDescent="0.35">
      <c r="A390" s="1" t="s">
        <v>416</v>
      </c>
      <c r="B390" s="1" t="s">
        <v>48</v>
      </c>
      <c r="C390" s="1" t="s">
        <v>17</v>
      </c>
      <c r="D390" s="1" t="s">
        <v>12</v>
      </c>
      <c r="E390">
        <v>1257</v>
      </c>
      <c r="F390">
        <v>286</v>
      </c>
      <c r="G390" s="1" t="s">
        <v>13</v>
      </c>
      <c r="H390" s="1" t="s">
        <v>33</v>
      </c>
      <c r="I390" s="2">
        <v>45719</v>
      </c>
    </row>
    <row r="391" spans="1:9" x14ac:dyDescent="0.35">
      <c r="A391" s="1" t="s">
        <v>417</v>
      </c>
      <c r="B391" s="1" t="s">
        <v>48</v>
      </c>
      <c r="C391" s="1" t="s">
        <v>25</v>
      </c>
      <c r="D391" s="1" t="s">
        <v>21</v>
      </c>
      <c r="E391">
        <v>357</v>
      </c>
      <c r="F391">
        <v>115</v>
      </c>
      <c r="G391" s="1" t="s">
        <v>13</v>
      </c>
      <c r="H391" s="1" t="s">
        <v>23</v>
      </c>
      <c r="I391" s="2">
        <v>45772</v>
      </c>
    </row>
    <row r="392" spans="1:9" x14ac:dyDescent="0.35">
      <c r="A392" s="1" t="s">
        <v>418</v>
      </c>
      <c r="B392" s="1" t="s">
        <v>48</v>
      </c>
      <c r="C392" s="1" t="s">
        <v>11</v>
      </c>
      <c r="D392" s="1" t="s">
        <v>12</v>
      </c>
      <c r="E392">
        <v>1049</v>
      </c>
      <c r="F392">
        <v>390</v>
      </c>
      <c r="G392" s="1" t="s">
        <v>13</v>
      </c>
      <c r="H392" s="1" t="s">
        <v>42</v>
      </c>
      <c r="I392" s="2">
        <v>45670</v>
      </c>
    </row>
    <row r="393" spans="1:9" x14ac:dyDescent="0.35">
      <c r="A393" s="1" t="s">
        <v>419</v>
      </c>
      <c r="B393" s="1" t="s">
        <v>20</v>
      </c>
      <c r="C393" s="1" t="s">
        <v>11</v>
      </c>
      <c r="D393" s="1" t="s">
        <v>12</v>
      </c>
      <c r="E393">
        <v>1563</v>
      </c>
      <c r="F393">
        <v>307</v>
      </c>
      <c r="G393" s="1" t="s">
        <v>13</v>
      </c>
      <c r="H393" s="1" t="s">
        <v>42</v>
      </c>
      <c r="I393" s="2">
        <v>45681</v>
      </c>
    </row>
    <row r="394" spans="1:9" x14ac:dyDescent="0.35">
      <c r="A394" s="1" t="s">
        <v>420</v>
      </c>
      <c r="B394" s="1" t="s">
        <v>37</v>
      </c>
      <c r="C394" s="1" t="s">
        <v>17</v>
      </c>
      <c r="D394" s="1" t="s">
        <v>21</v>
      </c>
      <c r="E394">
        <v>1487</v>
      </c>
      <c r="F394">
        <v>298</v>
      </c>
      <c r="G394" s="1" t="s">
        <v>13</v>
      </c>
      <c r="H394" s="1" t="s">
        <v>42</v>
      </c>
      <c r="I394" s="2">
        <v>45704</v>
      </c>
    </row>
    <row r="395" spans="1:9" x14ac:dyDescent="0.35">
      <c r="A395" s="1" t="s">
        <v>421</v>
      </c>
      <c r="B395" s="1" t="s">
        <v>16</v>
      </c>
      <c r="C395" s="1" t="s">
        <v>11</v>
      </c>
      <c r="D395" s="1" t="s">
        <v>12</v>
      </c>
      <c r="E395">
        <v>171</v>
      </c>
      <c r="F395">
        <v>380</v>
      </c>
      <c r="G395" s="1" t="s">
        <v>13</v>
      </c>
      <c r="H395" s="1" t="s">
        <v>33</v>
      </c>
      <c r="I395" s="2">
        <v>45680</v>
      </c>
    </row>
    <row r="396" spans="1:9" x14ac:dyDescent="0.35">
      <c r="A396" s="1" t="s">
        <v>422</v>
      </c>
      <c r="B396" s="1" t="s">
        <v>27</v>
      </c>
      <c r="C396" s="1" t="s">
        <v>17</v>
      </c>
      <c r="D396" s="1" t="s">
        <v>12</v>
      </c>
      <c r="E396">
        <v>559</v>
      </c>
      <c r="F396">
        <v>372</v>
      </c>
      <c r="G396" s="1" t="s">
        <v>13</v>
      </c>
      <c r="H396" s="1" t="s">
        <v>33</v>
      </c>
      <c r="I396" s="2">
        <v>45659</v>
      </c>
    </row>
    <row r="397" spans="1:9" x14ac:dyDescent="0.35">
      <c r="A397" s="1" t="s">
        <v>423</v>
      </c>
      <c r="B397" s="1" t="s">
        <v>27</v>
      </c>
      <c r="C397" s="1" t="s">
        <v>11</v>
      </c>
      <c r="D397" s="1" t="s">
        <v>12</v>
      </c>
      <c r="E397">
        <v>1044</v>
      </c>
      <c r="F397">
        <v>229</v>
      </c>
      <c r="G397" s="1" t="s">
        <v>13</v>
      </c>
      <c r="H397" s="1" t="s">
        <v>42</v>
      </c>
      <c r="I397" s="2">
        <v>45693</v>
      </c>
    </row>
    <row r="398" spans="1:9" x14ac:dyDescent="0.35">
      <c r="A398" s="1" t="s">
        <v>424</v>
      </c>
      <c r="B398" s="1" t="s">
        <v>20</v>
      </c>
      <c r="C398" s="1" t="s">
        <v>25</v>
      </c>
      <c r="D398" s="1" t="s">
        <v>12</v>
      </c>
      <c r="E398">
        <v>664</v>
      </c>
      <c r="F398">
        <v>239</v>
      </c>
      <c r="G398" s="1" t="s">
        <v>13</v>
      </c>
      <c r="H398" s="1" t="s">
        <v>33</v>
      </c>
      <c r="I398" s="2">
        <v>45725</v>
      </c>
    </row>
    <row r="399" spans="1:9" x14ac:dyDescent="0.35">
      <c r="A399" s="1" t="s">
        <v>425</v>
      </c>
      <c r="B399" s="1" t="s">
        <v>27</v>
      </c>
      <c r="C399" s="1" t="s">
        <v>11</v>
      </c>
      <c r="D399" s="1" t="s">
        <v>21</v>
      </c>
      <c r="E399">
        <v>1300</v>
      </c>
      <c r="F399">
        <v>203</v>
      </c>
      <c r="G399" s="1" t="s">
        <v>13</v>
      </c>
      <c r="H399" s="1" t="s">
        <v>14</v>
      </c>
      <c r="I399" s="2">
        <v>45704</v>
      </c>
    </row>
    <row r="400" spans="1:9" x14ac:dyDescent="0.35">
      <c r="A400" s="1" t="s">
        <v>426</v>
      </c>
      <c r="B400" s="1" t="s">
        <v>48</v>
      </c>
      <c r="C400" s="1" t="s">
        <v>11</v>
      </c>
      <c r="D400" s="1" t="s">
        <v>21</v>
      </c>
      <c r="E400">
        <v>958</v>
      </c>
      <c r="F400">
        <v>245</v>
      </c>
      <c r="G400" s="1" t="s">
        <v>13</v>
      </c>
      <c r="H400" s="1" t="s">
        <v>14</v>
      </c>
      <c r="I400" s="2">
        <v>45777</v>
      </c>
    </row>
    <row r="401" spans="1:9" x14ac:dyDescent="0.35">
      <c r="A401" s="1" t="s">
        <v>427</v>
      </c>
      <c r="B401" s="1" t="s">
        <v>16</v>
      </c>
      <c r="C401" s="1" t="s">
        <v>32</v>
      </c>
      <c r="D401" s="1" t="s">
        <v>12</v>
      </c>
      <c r="E401">
        <v>1873</v>
      </c>
      <c r="F401">
        <v>360</v>
      </c>
      <c r="G401" s="1" t="s">
        <v>13</v>
      </c>
      <c r="H401" s="1" t="s">
        <v>33</v>
      </c>
      <c r="I401" s="2">
        <v>45765</v>
      </c>
    </row>
    <row r="402" spans="1:9" x14ac:dyDescent="0.35">
      <c r="A402" s="1" t="s">
        <v>428</v>
      </c>
      <c r="B402" s="1" t="s">
        <v>10</v>
      </c>
      <c r="C402" s="1" t="s">
        <v>17</v>
      </c>
      <c r="D402" s="1" t="s">
        <v>12</v>
      </c>
      <c r="E402">
        <v>1023</v>
      </c>
      <c r="F402">
        <v>311</v>
      </c>
      <c r="G402" s="1" t="s">
        <v>13</v>
      </c>
      <c r="H402" s="1" t="s">
        <v>42</v>
      </c>
      <c r="I402" s="2">
        <v>45708</v>
      </c>
    </row>
    <row r="403" spans="1:9" x14ac:dyDescent="0.35">
      <c r="A403" s="1" t="s">
        <v>429</v>
      </c>
      <c r="B403" s="1" t="s">
        <v>27</v>
      </c>
      <c r="C403" s="1" t="s">
        <v>11</v>
      </c>
      <c r="D403" s="1" t="s">
        <v>12</v>
      </c>
      <c r="E403">
        <v>163</v>
      </c>
      <c r="F403">
        <v>192</v>
      </c>
      <c r="G403" s="1" t="s">
        <v>13</v>
      </c>
      <c r="H403" s="1" t="s">
        <v>33</v>
      </c>
      <c r="I403" s="2">
        <v>45740</v>
      </c>
    </row>
    <row r="404" spans="1:9" x14ac:dyDescent="0.35">
      <c r="A404" s="1" t="s">
        <v>430</v>
      </c>
      <c r="B404" s="1" t="s">
        <v>48</v>
      </c>
      <c r="C404" s="1" t="s">
        <v>11</v>
      </c>
      <c r="D404" s="1" t="s">
        <v>12</v>
      </c>
      <c r="E404">
        <v>1120</v>
      </c>
      <c r="F404">
        <v>391</v>
      </c>
      <c r="G404" s="1" t="s">
        <v>13</v>
      </c>
      <c r="H404" s="1" t="s">
        <v>33</v>
      </c>
      <c r="I404" s="2">
        <v>45713</v>
      </c>
    </row>
    <row r="405" spans="1:9" x14ac:dyDescent="0.35">
      <c r="A405" s="1" t="s">
        <v>431</v>
      </c>
      <c r="B405" s="1" t="s">
        <v>10</v>
      </c>
      <c r="C405" s="1" t="s">
        <v>32</v>
      </c>
      <c r="D405" s="1" t="s">
        <v>12</v>
      </c>
      <c r="E405">
        <v>1127</v>
      </c>
      <c r="F405">
        <v>365</v>
      </c>
      <c r="G405" s="1" t="s">
        <v>13</v>
      </c>
      <c r="H405" s="1" t="s">
        <v>33</v>
      </c>
      <c r="I405" s="2">
        <v>45668</v>
      </c>
    </row>
    <row r="406" spans="1:9" x14ac:dyDescent="0.35">
      <c r="A406" s="1" t="s">
        <v>432</v>
      </c>
      <c r="B406" s="1" t="s">
        <v>16</v>
      </c>
      <c r="C406" s="1" t="s">
        <v>32</v>
      </c>
      <c r="D406" s="1" t="s">
        <v>51</v>
      </c>
      <c r="E406">
        <v>1163</v>
      </c>
      <c r="F406">
        <v>150</v>
      </c>
      <c r="G406" s="1" t="s">
        <v>13</v>
      </c>
      <c r="H406" s="1" t="s">
        <v>23</v>
      </c>
      <c r="I406" s="2">
        <v>45668</v>
      </c>
    </row>
    <row r="407" spans="1:9" x14ac:dyDescent="0.35">
      <c r="A407" s="1" t="s">
        <v>433</v>
      </c>
      <c r="B407" s="1" t="s">
        <v>10</v>
      </c>
      <c r="C407" s="1" t="s">
        <v>17</v>
      </c>
      <c r="D407" s="1" t="s">
        <v>12</v>
      </c>
      <c r="E407">
        <v>1185</v>
      </c>
      <c r="F407">
        <v>293</v>
      </c>
      <c r="G407" s="1" t="s">
        <v>13</v>
      </c>
      <c r="H407" s="1" t="s">
        <v>14</v>
      </c>
      <c r="I407" s="2">
        <v>45682</v>
      </c>
    </row>
    <row r="408" spans="1:9" x14ac:dyDescent="0.35">
      <c r="A408" s="1" t="s">
        <v>434</v>
      </c>
      <c r="B408" s="1" t="s">
        <v>48</v>
      </c>
      <c r="C408" s="1" t="s">
        <v>32</v>
      </c>
      <c r="D408" s="1" t="s">
        <v>51</v>
      </c>
      <c r="E408">
        <v>236</v>
      </c>
      <c r="F408">
        <v>61</v>
      </c>
      <c r="G408" s="1" t="s">
        <v>13</v>
      </c>
      <c r="H408" s="1" t="s">
        <v>18</v>
      </c>
      <c r="I408" s="2">
        <v>45713</v>
      </c>
    </row>
    <row r="409" spans="1:9" x14ac:dyDescent="0.35">
      <c r="A409" s="1" t="s">
        <v>435</v>
      </c>
      <c r="B409" s="1" t="s">
        <v>37</v>
      </c>
      <c r="C409" s="1" t="s">
        <v>25</v>
      </c>
      <c r="D409" s="1" t="s">
        <v>12</v>
      </c>
      <c r="E409">
        <v>1697</v>
      </c>
      <c r="F409">
        <v>288</v>
      </c>
      <c r="G409" s="1" t="s">
        <v>13</v>
      </c>
      <c r="H409" s="1" t="s">
        <v>18</v>
      </c>
      <c r="I409" s="2">
        <v>45673</v>
      </c>
    </row>
    <row r="410" spans="1:9" x14ac:dyDescent="0.35">
      <c r="A410" s="1" t="s">
        <v>436</v>
      </c>
      <c r="B410" s="1" t="s">
        <v>37</v>
      </c>
      <c r="C410" s="1" t="s">
        <v>32</v>
      </c>
      <c r="D410" s="1" t="s">
        <v>12</v>
      </c>
      <c r="E410">
        <v>1058</v>
      </c>
      <c r="F410">
        <v>98</v>
      </c>
      <c r="G410" s="1" t="s">
        <v>13</v>
      </c>
      <c r="H410" s="1" t="s">
        <v>23</v>
      </c>
      <c r="I410" s="2">
        <v>45734</v>
      </c>
    </row>
    <row r="411" spans="1:9" x14ac:dyDescent="0.35">
      <c r="A411" s="1" t="s">
        <v>437</v>
      </c>
      <c r="B411" s="1" t="s">
        <v>10</v>
      </c>
      <c r="C411" s="1" t="s">
        <v>25</v>
      </c>
      <c r="D411" s="1" t="s">
        <v>12</v>
      </c>
      <c r="E411">
        <v>1710</v>
      </c>
      <c r="F411">
        <v>91</v>
      </c>
      <c r="G411" s="1" t="s">
        <v>13</v>
      </c>
      <c r="H411" s="1" t="s">
        <v>33</v>
      </c>
      <c r="I411" s="2">
        <v>45717</v>
      </c>
    </row>
    <row r="412" spans="1:9" x14ac:dyDescent="0.35">
      <c r="A412" s="1" t="s">
        <v>438</v>
      </c>
      <c r="B412" s="1" t="s">
        <v>20</v>
      </c>
      <c r="C412" s="1" t="s">
        <v>17</v>
      </c>
      <c r="D412" s="1" t="s">
        <v>21</v>
      </c>
      <c r="E412">
        <v>1474</v>
      </c>
      <c r="F412">
        <v>215</v>
      </c>
      <c r="G412" s="1" t="s">
        <v>13</v>
      </c>
      <c r="H412" s="1" t="s">
        <v>23</v>
      </c>
      <c r="I412" s="2">
        <v>45664</v>
      </c>
    </row>
    <row r="413" spans="1:9" x14ac:dyDescent="0.35">
      <c r="A413" s="1" t="s">
        <v>439</v>
      </c>
      <c r="B413" s="1" t="s">
        <v>10</v>
      </c>
      <c r="C413" s="1" t="s">
        <v>17</v>
      </c>
      <c r="D413" s="1" t="s">
        <v>21</v>
      </c>
      <c r="E413">
        <v>1416</v>
      </c>
      <c r="F413">
        <v>131</v>
      </c>
      <c r="G413" s="1" t="s">
        <v>13</v>
      </c>
      <c r="H413" s="1" t="s">
        <v>23</v>
      </c>
      <c r="I413" s="2">
        <v>45693</v>
      </c>
    </row>
    <row r="414" spans="1:9" x14ac:dyDescent="0.35">
      <c r="A414" s="1" t="s">
        <v>440</v>
      </c>
      <c r="B414" s="1" t="s">
        <v>27</v>
      </c>
      <c r="C414" s="1" t="s">
        <v>17</v>
      </c>
      <c r="D414" s="1" t="s">
        <v>21</v>
      </c>
      <c r="E414">
        <v>271</v>
      </c>
      <c r="F414">
        <v>340</v>
      </c>
      <c r="G414" s="1" t="s">
        <v>13</v>
      </c>
      <c r="H414" s="1" t="s">
        <v>42</v>
      </c>
      <c r="I414" s="2">
        <v>45687</v>
      </c>
    </row>
    <row r="415" spans="1:9" x14ac:dyDescent="0.35">
      <c r="A415" s="1" t="s">
        <v>441</v>
      </c>
      <c r="B415" s="1" t="s">
        <v>27</v>
      </c>
      <c r="C415" s="1" t="s">
        <v>17</v>
      </c>
      <c r="D415" s="1" t="s">
        <v>12</v>
      </c>
      <c r="E415">
        <v>1320</v>
      </c>
      <c r="F415">
        <v>207</v>
      </c>
      <c r="G415" s="1" t="s">
        <v>13</v>
      </c>
      <c r="H415" s="1" t="s">
        <v>14</v>
      </c>
      <c r="I415" s="2">
        <v>45776</v>
      </c>
    </row>
    <row r="416" spans="1:9" x14ac:dyDescent="0.35">
      <c r="A416" s="1" t="s">
        <v>442</v>
      </c>
      <c r="B416" s="1" t="s">
        <v>37</v>
      </c>
      <c r="C416" s="1" t="s">
        <v>17</v>
      </c>
      <c r="D416" s="1" t="s">
        <v>12</v>
      </c>
      <c r="E416">
        <v>1740</v>
      </c>
      <c r="F416">
        <v>265</v>
      </c>
      <c r="G416" s="1" t="s">
        <v>13</v>
      </c>
      <c r="H416" s="1" t="s">
        <v>18</v>
      </c>
      <c r="I416" s="2">
        <v>45662</v>
      </c>
    </row>
    <row r="417" spans="1:9" x14ac:dyDescent="0.35">
      <c r="A417" s="1" t="s">
        <v>443</v>
      </c>
      <c r="B417" s="1" t="s">
        <v>20</v>
      </c>
      <c r="C417" s="1" t="s">
        <v>25</v>
      </c>
      <c r="D417" s="1" t="s">
        <v>21</v>
      </c>
      <c r="E417">
        <v>899</v>
      </c>
      <c r="F417">
        <v>207</v>
      </c>
      <c r="G417" s="1" t="s">
        <v>13</v>
      </c>
      <c r="H417" s="1" t="s">
        <v>33</v>
      </c>
      <c r="I417" s="2">
        <v>45673</v>
      </c>
    </row>
    <row r="418" spans="1:9" x14ac:dyDescent="0.35">
      <c r="A418" s="1" t="s">
        <v>444</v>
      </c>
      <c r="B418" s="1" t="s">
        <v>48</v>
      </c>
      <c r="C418" s="1" t="s">
        <v>25</v>
      </c>
      <c r="D418" s="1" t="s">
        <v>12</v>
      </c>
      <c r="E418">
        <v>1529</v>
      </c>
      <c r="F418">
        <v>183</v>
      </c>
      <c r="G418" s="1" t="s">
        <v>13</v>
      </c>
      <c r="H418" s="1" t="s">
        <v>18</v>
      </c>
      <c r="I418" s="2">
        <v>45767</v>
      </c>
    </row>
    <row r="419" spans="1:9" x14ac:dyDescent="0.35">
      <c r="A419" s="1" t="s">
        <v>445</v>
      </c>
      <c r="B419" s="1" t="s">
        <v>27</v>
      </c>
      <c r="C419" s="1" t="s">
        <v>17</v>
      </c>
      <c r="D419" s="1" t="s">
        <v>12</v>
      </c>
      <c r="E419">
        <v>834</v>
      </c>
      <c r="F419">
        <v>116</v>
      </c>
      <c r="G419" s="1" t="s">
        <v>13</v>
      </c>
      <c r="H419" s="1" t="s">
        <v>18</v>
      </c>
      <c r="I419" s="2">
        <v>45772</v>
      </c>
    </row>
    <row r="420" spans="1:9" x14ac:dyDescent="0.35">
      <c r="A420" s="1" t="s">
        <v>446</v>
      </c>
      <c r="B420" s="1" t="s">
        <v>37</v>
      </c>
      <c r="C420" s="1" t="s">
        <v>32</v>
      </c>
      <c r="D420" s="1" t="s">
        <v>12</v>
      </c>
      <c r="E420">
        <v>1906</v>
      </c>
      <c r="F420">
        <v>385</v>
      </c>
      <c r="G420" s="1" t="s">
        <v>13</v>
      </c>
      <c r="H420" s="1" t="s">
        <v>14</v>
      </c>
      <c r="I420" s="2">
        <v>45684</v>
      </c>
    </row>
    <row r="421" spans="1:9" x14ac:dyDescent="0.35">
      <c r="A421" s="1" t="s">
        <v>447</v>
      </c>
      <c r="B421" s="1" t="s">
        <v>16</v>
      </c>
      <c r="C421" s="1" t="s">
        <v>11</v>
      </c>
      <c r="D421" s="1" t="s">
        <v>51</v>
      </c>
      <c r="E421">
        <v>1804</v>
      </c>
      <c r="F421">
        <v>56</v>
      </c>
      <c r="G421" s="1" t="s">
        <v>13</v>
      </c>
      <c r="H421" s="1" t="s">
        <v>18</v>
      </c>
      <c r="I421" s="2">
        <v>45729</v>
      </c>
    </row>
    <row r="422" spans="1:9" x14ac:dyDescent="0.35">
      <c r="A422" s="1" t="s">
        <v>448</v>
      </c>
      <c r="B422" s="1" t="s">
        <v>37</v>
      </c>
      <c r="C422" s="1" t="s">
        <v>17</v>
      </c>
      <c r="D422" s="1" t="s">
        <v>51</v>
      </c>
      <c r="E422">
        <v>458</v>
      </c>
      <c r="F422">
        <v>63</v>
      </c>
      <c r="G422" s="1" t="s">
        <v>13</v>
      </c>
      <c r="H422" s="1" t="s">
        <v>18</v>
      </c>
      <c r="I422" s="2">
        <v>45669</v>
      </c>
    </row>
    <row r="423" spans="1:9" x14ac:dyDescent="0.35">
      <c r="A423" s="1" t="s">
        <v>449</v>
      </c>
      <c r="B423" s="1" t="s">
        <v>27</v>
      </c>
      <c r="C423" s="1" t="s">
        <v>32</v>
      </c>
      <c r="D423" s="1" t="s">
        <v>12</v>
      </c>
      <c r="E423">
        <v>844</v>
      </c>
      <c r="F423">
        <v>122</v>
      </c>
      <c r="G423" s="1" t="s">
        <v>13</v>
      </c>
      <c r="H423" s="1" t="s">
        <v>23</v>
      </c>
      <c r="I423" s="2">
        <v>45697</v>
      </c>
    </row>
    <row r="424" spans="1:9" x14ac:dyDescent="0.35">
      <c r="A424" s="1" t="s">
        <v>450</v>
      </c>
      <c r="B424" s="1" t="s">
        <v>27</v>
      </c>
      <c r="C424" s="1" t="s">
        <v>11</v>
      </c>
      <c r="D424" s="1" t="s">
        <v>21</v>
      </c>
      <c r="E424">
        <v>437</v>
      </c>
      <c r="F424">
        <v>212</v>
      </c>
      <c r="G424" s="1" t="s">
        <v>13</v>
      </c>
      <c r="H424" s="1" t="s">
        <v>14</v>
      </c>
      <c r="I424" s="2">
        <v>45689</v>
      </c>
    </row>
    <row r="425" spans="1:9" x14ac:dyDescent="0.35">
      <c r="A425" s="1" t="s">
        <v>451</v>
      </c>
      <c r="B425" s="1" t="s">
        <v>37</v>
      </c>
      <c r="C425" s="1" t="s">
        <v>17</v>
      </c>
      <c r="D425" s="1" t="s">
        <v>51</v>
      </c>
      <c r="E425">
        <v>456</v>
      </c>
      <c r="F425">
        <v>115</v>
      </c>
      <c r="G425" s="1" t="s">
        <v>13</v>
      </c>
      <c r="H425" s="1" t="s">
        <v>42</v>
      </c>
      <c r="I425" s="2">
        <v>45669</v>
      </c>
    </row>
    <row r="426" spans="1:9" x14ac:dyDescent="0.35">
      <c r="A426" s="1" t="s">
        <v>452</v>
      </c>
      <c r="B426" s="1" t="s">
        <v>48</v>
      </c>
      <c r="C426" s="1" t="s">
        <v>17</v>
      </c>
      <c r="D426" s="1" t="s">
        <v>12</v>
      </c>
      <c r="E426">
        <v>1985</v>
      </c>
      <c r="F426">
        <v>396</v>
      </c>
      <c r="G426" s="1" t="s">
        <v>13</v>
      </c>
      <c r="H426" s="1" t="s">
        <v>33</v>
      </c>
      <c r="I426" s="2">
        <v>45706</v>
      </c>
    </row>
    <row r="427" spans="1:9" x14ac:dyDescent="0.35">
      <c r="A427" s="1" t="s">
        <v>453</v>
      </c>
      <c r="B427" s="1" t="s">
        <v>10</v>
      </c>
      <c r="C427" s="1" t="s">
        <v>25</v>
      </c>
      <c r="D427" s="1" t="s">
        <v>12</v>
      </c>
      <c r="E427">
        <v>1767</v>
      </c>
      <c r="F427">
        <v>179</v>
      </c>
      <c r="G427" s="1" t="s">
        <v>13</v>
      </c>
      <c r="H427" s="1" t="s">
        <v>18</v>
      </c>
      <c r="I427" s="2">
        <v>45731</v>
      </c>
    </row>
    <row r="428" spans="1:9" x14ac:dyDescent="0.35">
      <c r="A428" s="1" t="s">
        <v>454</v>
      </c>
      <c r="B428" s="1" t="s">
        <v>27</v>
      </c>
      <c r="C428" s="1" t="s">
        <v>11</v>
      </c>
      <c r="D428" s="1" t="s">
        <v>51</v>
      </c>
      <c r="E428">
        <v>1063</v>
      </c>
      <c r="F428">
        <v>255</v>
      </c>
      <c r="G428" s="1" t="s">
        <v>13</v>
      </c>
      <c r="H428" s="1" t="s">
        <v>33</v>
      </c>
      <c r="I428" s="2">
        <v>45666</v>
      </c>
    </row>
    <row r="429" spans="1:9" x14ac:dyDescent="0.35">
      <c r="A429" s="1" t="s">
        <v>455</v>
      </c>
      <c r="B429" s="1" t="s">
        <v>37</v>
      </c>
      <c r="C429" s="1" t="s">
        <v>11</v>
      </c>
      <c r="D429" s="1" t="s">
        <v>12</v>
      </c>
      <c r="E429">
        <v>1896</v>
      </c>
      <c r="F429">
        <v>325</v>
      </c>
      <c r="G429" s="1" t="s">
        <v>13</v>
      </c>
      <c r="H429" s="1" t="s">
        <v>42</v>
      </c>
      <c r="I429" s="2">
        <v>45660</v>
      </c>
    </row>
    <row r="430" spans="1:9" x14ac:dyDescent="0.35">
      <c r="A430" s="1" t="s">
        <v>456</v>
      </c>
      <c r="B430" s="1" t="s">
        <v>37</v>
      </c>
      <c r="C430" s="1" t="s">
        <v>32</v>
      </c>
      <c r="D430" s="1" t="s">
        <v>12</v>
      </c>
      <c r="E430">
        <v>811</v>
      </c>
      <c r="F430">
        <v>305</v>
      </c>
      <c r="G430" s="1" t="s">
        <v>13</v>
      </c>
      <c r="H430" s="1" t="s">
        <v>33</v>
      </c>
      <c r="I430" s="2">
        <v>45724</v>
      </c>
    </row>
    <row r="431" spans="1:9" x14ac:dyDescent="0.35">
      <c r="A431" s="1" t="s">
        <v>457</v>
      </c>
      <c r="B431" s="1" t="s">
        <v>20</v>
      </c>
      <c r="C431" s="1" t="s">
        <v>25</v>
      </c>
      <c r="D431" s="1" t="s">
        <v>12</v>
      </c>
      <c r="E431">
        <v>698</v>
      </c>
      <c r="F431">
        <v>315</v>
      </c>
      <c r="G431" s="1" t="s">
        <v>13</v>
      </c>
      <c r="H431" s="1" t="s">
        <v>42</v>
      </c>
      <c r="I431" s="2">
        <v>45659</v>
      </c>
    </row>
    <row r="432" spans="1:9" x14ac:dyDescent="0.35">
      <c r="A432" s="1" t="s">
        <v>458</v>
      </c>
      <c r="B432" s="1" t="s">
        <v>10</v>
      </c>
      <c r="C432" s="1" t="s">
        <v>25</v>
      </c>
      <c r="D432" s="1" t="s">
        <v>51</v>
      </c>
      <c r="E432">
        <v>1525</v>
      </c>
      <c r="F432">
        <v>74</v>
      </c>
      <c r="G432" s="1" t="s">
        <v>13</v>
      </c>
      <c r="H432" s="1" t="s">
        <v>23</v>
      </c>
      <c r="I432" s="2">
        <v>45767</v>
      </c>
    </row>
    <row r="433" spans="1:9" x14ac:dyDescent="0.35">
      <c r="A433" s="1" t="s">
        <v>459</v>
      </c>
      <c r="B433" s="1" t="s">
        <v>16</v>
      </c>
      <c r="C433" s="1" t="s">
        <v>25</v>
      </c>
      <c r="D433" s="1" t="s">
        <v>51</v>
      </c>
      <c r="E433">
        <v>461</v>
      </c>
      <c r="F433">
        <v>330</v>
      </c>
      <c r="G433" s="1" t="s">
        <v>13</v>
      </c>
      <c r="H433" s="1" t="s">
        <v>18</v>
      </c>
      <c r="I433" s="2">
        <v>45762</v>
      </c>
    </row>
    <row r="434" spans="1:9" x14ac:dyDescent="0.35">
      <c r="A434" s="1" t="s">
        <v>460</v>
      </c>
      <c r="B434" s="1" t="s">
        <v>48</v>
      </c>
      <c r="C434" s="1" t="s">
        <v>25</v>
      </c>
      <c r="D434" s="1" t="s">
        <v>51</v>
      </c>
      <c r="E434">
        <v>1022</v>
      </c>
      <c r="F434">
        <v>302</v>
      </c>
      <c r="G434" s="1" t="s">
        <v>13</v>
      </c>
      <c r="H434" s="1" t="s">
        <v>42</v>
      </c>
      <c r="I434" s="2">
        <v>45709</v>
      </c>
    </row>
    <row r="435" spans="1:9" x14ac:dyDescent="0.35">
      <c r="A435" s="1" t="s">
        <v>461</v>
      </c>
      <c r="B435" s="1" t="s">
        <v>16</v>
      </c>
      <c r="C435" s="1" t="s">
        <v>11</v>
      </c>
      <c r="D435" s="1" t="s">
        <v>12</v>
      </c>
      <c r="E435">
        <v>1232</v>
      </c>
      <c r="F435">
        <v>359</v>
      </c>
      <c r="G435" s="1" t="s">
        <v>13</v>
      </c>
      <c r="H435" s="1" t="s">
        <v>33</v>
      </c>
      <c r="I435" s="2">
        <v>45769</v>
      </c>
    </row>
    <row r="436" spans="1:9" x14ac:dyDescent="0.35">
      <c r="A436" s="1" t="s">
        <v>462</v>
      </c>
      <c r="B436" s="1" t="s">
        <v>10</v>
      </c>
      <c r="C436" s="1" t="s">
        <v>11</v>
      </c>
      <c r="D436" s="1" t="s">
        <v>21</v>
      </c>
      <c r="E436">
        <v>1816</v>
      </c>
      <c r="F436">
        <v>338</v>
      </c>
      <c r="G436" s="1" t="s">
        <v>13</v>
      </c>
      <c r="H436" s="1" t="s">
        <v>18</v>
      </c>
      <c r="I436" s="2">
        <v>45688</v>
      </c>
    </row>
    <row r="437" spans="1:9" x14ac:dyDescent="0.35">
      <c r="A437" s="1" t="s">
        <v>463</v>
      </c>
      <c r="B437" s="1" t="s">
        <v>10</v>
      </c>
      <c r="C437" s="1" t="s">
        <v>17</v>
      </c>
      <c r="D437" s="1" t="s">
        <v>21</v>
      </c>
      <c r="E437">
        <v>1073</v>
      </c>
      <c r="F437">
        <v>213</v>
      </c>
      <c r="G437" s="1" t="s">
        <v>13</v>
      </c>
      <c r="H437" s="1" t="s">
        <v>23</v>
      </c>
      <c r="I437" s="2">
        <v>45771</v>
      </c>
    </row>
    <row r="438" spans="1:9" x14ac:dyDescent="0.35">
      <c r="A438" s="1" t="s">
        <v>464</v>
      </c>
      <c r="B438" s="1" t="s">
        <v>10</v>
      </c>
      <c r="C438" s="1" t="s">
        <v>17</v>
      </c>
      <c r="D438" s="1" t="s">
        <v>12</v>
      </c>
      <c r="E438">
        <v>1887</v>
      </c>
      <c r="F438">
        <v>144</v>
      </c>
      <c r="G438" s="1" t="s">
        <v>13</v>
      </c>
      <c r="H438" s="1" t="s">
        <v>18</v>
      </c>
      <c r="I438" s="2">
        <v>45680</v>
      </c>
    </row>
    <row r="439" spans="1:9" x14ac:dyDescent="0.35">
      <c r="A439" s="1" t="s">
        <v>465</v>
      </c>
      <c r="B439" s="1" t="s">
        <v>16</v>
      </c>
      <c r="C439" s="1" t="s">
        <v>25</v>
      </c>
      <c r="D439" s="1" t="s">
        <v>21</v>
      </c>
      <c r="E439">
        <v>904</v>
      </c>
      <c r="F439">
        <v>319</v>
      </c>
      <c r="G439" s="1" t="s">
        <v>13</v>
      </c>
      <c r="H439" s="1" t="s">
        <v>42</v>
      </c>
      <c r="I439" s="2">
        <v>45776</v>
      </c>
    </row>
    <row r="440" spans="1:9" x14ac:dyDescent="0.35">
      <c r="A440" s="1" t="s">
        <v>466</v>
      </c>
      <c r="B440" s="1" t="s">
        <v>10</v>
      </c>
      <c r="C440" s="1" t="s">
        <v>25</v>
      </c>
      <c r="D440" s="1" t="s">
        <v>12</v>
      </c>
      <c r="E440">
        <v>184</v>
      </c>
      <c r="F440">
        <v>370</v>
      </c>
      <c r="G440" s="1" t="s">
        <v>13</v>
      </c>
      <c r="H440" s="1" t="s">
        <v>23</v>
      </c>
      <c r="I440" s="2">
        <v>45743</v>
      </c>
    </row>
    <row r="441" spans="1:9" x14ac:dyDescent="0.35">
      <c r="A441" s="1" t="s">
        <v>467</v>
      </c>
      <c r="B441" s="1" t="s">
        <v>37</v>
      </c>
      <c r="C441" s="1" t="s">
        <v>25</v>
      </c>
      <c r="D441" s="1" t="s">
        <v>12</v>
      </c>
      <c r="E441">
        <v>594</v>
      </c>
      <c r="F441">
        <v>159</v>
      </c>
      <c r="G441" s="1" t="s">
        <v>13</v>
      </c>
      <c r="H441" s="1" t="s">
        <v>33</v>
      </c>
      <c r="I441" s="2">
        <v>45678</v>
      </c>
    </row>
    <row r="442" spans="1:9" x14ac:dyDescent="0.35">
      <c r="A442" s="1" t="s">
        <v>468</v>
      </c>
      <c r="B442" s="1" t="s">
        <v>16</v>
      </c>
      <c r="C442" s="1" t="s">
        <v>17</v>
      </c>
      <c r="D442" s="1" t="s">
        <v>12</v>
      </c>
      <c r="E442">
        <v>242</v>
      </c>
      <c r="F442">
        <v>385</v>
      </c>
      <c r="G442" s="1" t="s">
        <v>13</v>
      </c>
      <c r="H442" s="1" t="s">
        <v>23</v>
      </c>
      <c r="I442" s="2">
        <v>45693</v>
      </c>
    </row>
    <row r="443" spans="1:9" x14ac:dyDescent="0.35">
      <c r="A443" s="1" t="s">
        <v>469</v>
      </c>
      <c r="B443" s="1" t="s">
        <v>10</v>
      </c>
      <c r="C443" s="1" t="s">
        <v>32</v>
      </c>
      <c r="D443" s="1" t="s">
        <v>12</v>
      </c>
      <c r="E443">
        <v>1380</v>
      </c>
      <c r="F443">
        <v>359</v>
      </c>
      <c r="G443" s="1" t="s">
        <v>13</v>
      </c>
      <c r="H443" s="1" t="s">
        <v>23</v>
      </c>
      <c r="I443" s="2">
        <v>45663</v>
      </c>
    </row>
    <row r="444" spans="1:9" x14ac:dyDescent="0.35">
      <c r="A444" s="1" t="s">
        <v>470</v>
      </c>
      <c r="B444" s="1" t="s">
        <v>37</v>
      </c>
      <c r="C444" s="1" t="s">
        <v>32</v>
      </c>
      <c r="D444" s="1" t="s">
        <v>12</v>
      </c>
      <c r="E444">
        <v>502</v>
      </c>
      <c r="F444">
        <v>287</v>
      </c>
      <c r="G444" s="1" t="s">
        <v>13</v>
      </c>
      <c r="H444" s="1" t="s">
        <v>14</v>
      </c>
      <c r="I444" s="2">
        <v>45718</v>
      </c>
    </row>
    <row r="445" spans="1:9" x14ac:dyDescent="0.35">
      <c r="A445" s="1" t="s">
        <v>471</v>
      </c>
      <c r="B445" s="1" t="s">
        <v>20</v>
      </c>
      <c r="C445" s="1" t="s">
        <v>17</v>
      </c>
      <c r="D445" s="1" t="s">
        <v>12</v>
      </c>
      <c r="E445">
        <v>1052</v>
      </c>
      <c r="F445">
        <v>74</v>
      </c>
      <c r="G445" s="1" t="s">
        <v>13</v>
      </c>
      <c r="H445" s="1" t="s">
        <v>23</v>
      </c>
      <c r="I445" s="2">
        <v>45671</v>
      </c>
    </row>
    <row r="446" spans="1:9" x14ac:dyDescent="0.35">
      <c r="A446" s="1" t="s">
        <v>472</v>
      </c>
      <c r="B446" s="1" t="s">
        <v>10</v>
      </c>
      <c r="C446" s="1" t="s">
        <v>17</v>
      </c>
      <c r="D446" s="1" t="s">
        <v>12</v>
      </c>
      <c r="E446">
        <v>1505</v>
      </c>
      <c r="F446">
        <v>190</v>
      </c>
      <c r="G446" s="1" t="s">
        <v>13</v>
      </c>
      <c r="H446" s="1" t="s">
        <v>23</v>
      </c>
      <c r="I446" s="2">
        <v>45772</v>
      </c>
    </row>
    <row r="447" spans="1:9" x14ac:dyDescent="0.35">
      <c r="A447" s="1" t="s">
        <v>473</v>
      </c>
      <c r="B447" s="1" t="s">
        <v>16</v>
      </c>
      <c r="C447" s="1" t="s">
        <v>17</v>
      </c>
      <c r="D447" s="1" t="s">
        <v>21</v>
      </c>
      <c r="E447">
        <v>1990</v>
      </c>
      <c r="F447">
        <v>166</v>
      </c>
      <c r="G447" s="1" t="s">
        <v>13</v>
      </c>
      <c r="H447" s="1" t="s">
        <v>18</v>
      </c>
      <c r="I447" s="2">
        <v>45717</v>
      </c>
    </row>
    <row r="448" spans="1:9" x14ac:dyDescent="0.35">
      <c r="A448" s="1" t="s">
        <v>474</v>
      </c>
      <c r="B448" s="1" t="s">
        <v>27</v>
      </c>
      <c r="C448" s="1" t="s">
        <v>17</v>
      </c>
      <c r="D448" s="1" t="s">
        <v>12</v>
      </c>
      <c r="E448">
        <v>1011</v>
      </c>
      <c r="F448">
        <v>74</v>
      </c>
      <c r="G448" s="1" t="s">
        <v>13</v>
      </c>
      <c r="H448" s="1" t="s">
        <v>33</v>
      </c>
      <c r="I448" s="2">
        <v>45714</v>
      </c>
    </row>
    <row r="449" spans="1:9" x14ac:dyDescent="0.35">
      <c r="A449" s="1" t="s">
        <v>475</v>
      </c>
      <c r="B449" s="1" t="s">
        <v>10</v>
      </c>
      <c r="C449" s="1" t="s">
        <v>17</v>
      </c>
      <c r="D449" s="1" t="s">
        <v>12</v>
      </c>
      <c r="E449">
        <v>1898</v>
      </c>
      <c r="F449">
        <v>128</v>
      </c>
      <c r="G449" s="1" t="s">
        <v>13</v>
      </c>
      <c r="H449" s="1" t="s">
        <v>18</v>
      </c>
      <c r="I449" s="2">
        <v>45704</v>
      </c>
    </row>
    <row r="450" spans="1:9" x14ac:dyDescent="0.35">
      <c r="A450" s="1" t="s">
        <v>476</v>
      </c>
      <c r="B450" s="1" t="s">
        <v>27</v>
      </c>
      <c r="C450" s="1" t="s">
        <v>17</v>
      </c>
      <c r="D450" s="1" t="s">
        <v>12</v>
      </c>
      <c r="E450">
        <v>308</v>
      </c>
      <c r="F450">
        <v>117</v>
      </c>
      <c r="G450" s="1" t="s">
        <v>13</v>
      </c>
      <c r="H450" s="1" t="s">
        <v>18</v>
      </c>
      <c r="I450" s="2">
        <v>45658</v>
      </c>
    </row>
    <row r="451" spans="1:9" x14ac:dyDescent="0.35">
      <c r="A451" s="1" t="s">
        <v>477</v>
      </c>
      <c r="B451" s="1" t="s">
        <v>37</v>
      </c>
      <c r="C451" s="1" t="s">
        <v>25</v>
      </c>
      <c r="D451" s="1" t="s">
        <v>21</v>
      </c>
      <c r="E451">
        <v>1106</v>
      </c>
      <c r="F451">
        <v>222</v>
      </c>
      <c r="G451" s="1" t="s">
        <v>13</v>
      </c>
      <c r="H451" s="1" t="s">
        <v>42</v>
      </c>
      <c r="I451" s="2">
        <v>45741</v>
      </c>
    </row>
    <row r="452" spans="1:9" x14ac:dyDescent="0.35">
      <c r="A452" s="1" t="s">
        <v>478</v>
      </c>
      <c r="B452" s="1" t="s">
        <v>20</v>
      </c>
      <c r="C452" s="1" t="s">
        <v>25</v>
      </c>
      <c r="D452" s="1" t="s">
        <v>12</v>
      </c>
      <c r="E452">
        <v>173</v>
      </c>
      <c r="F452">
        <v>61</v>
      </c>
      <c r="G452" s="1" t="s">
        <v>13</v>
      </c>
      <c r="H452" s="1" t="s">
        <v>18</v>
      </c>
      <c r="I452" s="2">
        <v>45768</v>
      </c>
    </row>
    <row r="453" spans="1:9" x14ac:dyDescent="0.35">
      <c r="A453" s="1" t="s">
        <v>479</v>
      </c>
      <c r="B453" s="1" t="s">
        <v>48</v>
      </c>
      <c r="C453" s="1" t="s">
        <v>25</v>
      </c>
      <c r="D453" s="1" t="s">
        <v>12</v>
      </c>
      <c r="E453">
        <v>553</v>
      </c>
      <c r="F453">
        <v>337</v>
      </c>
      <c r="G453" s="1" t="s">
        <v>13</v>
      </c>
      <c r="H453" s="1" t="s">
        <v>14</v>
      </c>
      <c r="I453" s="2">
        <v>45675</v>
      </c>
    </row>
    <row r="454" spans="1:9" x14ac:dyDescent="0.35">
      <c r="A454" s="1" t="s">
        <v>480</v>
      </c>
      <c r="B454" s="1" t="s">
        <v>20</v>
      </c>
      <c r="C454" s="1" t="s">
        <v>25</v>
      </c>
      <c r="D454" s="1" t="s">
        <v>21</v>
      </c>
      <c r="E454">
        <v>954</v>
      </c>
      <c r="F454">
        <v>177</v>
      </c>
      <c r="G454" s="1" t="s">
        <v>13</v>
      </c>
      <c r="H454" s="1" t="s">
        <v>14</v>
      </c>
      <c r="I454" s="2">
        <v>45726</v>
      </c>
    </row>
    <row r="455" spans="1:9" x14ac:dyDescent="0.35">
      <c r="A455" s="1" t="s">
        <v>481</v>
      </c>
      <c r="B455" s="1" t="s">
        <v>10</v>
      </c>
      <c r="C455" s="1" t="s">
        <v>17</v>
      </c>
      <c r="D455" s="1" t="s">
        <v>12</v>
      </c>
      <c r="E455">
        <v>665</v>
      </c>
      <c r="F455">
        <v>145</v>
      </c>
      <c r="G455" s="1" t="s">
        <v>13</v>
      </c>
      <c r="H455" s="1" t="s">
        <v>42</v>
      </c>
      <c r="I455" s="2">
        <v>45701</v>
      </c>
    </row>
    <row r="456" spans="1:9" x14ac:dyDescent="0.35">
      <c r="A456" s="1" t="s">
        <v>482</v>
      </c>
      <c r="B456" s="1" t="s">
        <v>27</v>
      </c>
      <c r="C456" s="1" t="s">
        <v>32</v>
      </c>
      <c r="D456" s="1" t="s">
        <v>12</v>
      </c>
      <c r="E456">
        <v>881</v>
      </c>
      <c r="F456">
        <v>141</v>
      </c>
      <c r="G456" s="1" t="s">
        <v>13</v>
      </c>
      <c r="H456" s="1" t="s">
        <v>33</v>
      </c>
      <c r="I456" s="2">
        <v>45724</v>
      </c>
    </row>
    <row r="457" spans="1:9" x14ac:dyDescent="0.35">
      <c r="A457" s="1" t="s">
        <v>483</v>
      </c>
      <c r="B457" s="1" t="s">
        <v>27</v>
      </c>
      <c r="C457" s="1" t="s">
        <v>11</v>
      </c>
      <c r="D457" s="1" t="s">
        <v>12</v>
      </c>
      <c r="E457">
        <v>1537</v>
      </c>
      <c r="F457">
        <v>190</v>
      </c>
      <c r="G457" s="1" t="s">
        <v>13</v>
      </c>
      <c r="H457" s="1" t="s">
        <v>33</v>
      </c>
      <c r="I457" s="2">
        <v>45761</v>
      </c>
    </row>
    <row r="458" spans="1:9" x14ac:dyDescent="0.35">
      <c r="A458" s="1" t="s">
        <v>484</v>
      </c>
      <c r="B458" s="1" t="s">
        <v>16</v>
      </c>
      <c r="C458" s="1" t="s">
        <v>17</v>
      </c>
      <c r="D458" s="1" t="s">
        <v>21</v>
      </c>
      <c r="E458">
        <v>1555</v>
      </c>
      <c r="F458">
        <v>80</v>
      </c>
      <c r="G458" s="1" t="s">
        <v>13</v>
      </c>
      <c r="H458" s="1" t="s">
        <v>18</v>
      </c>
      <c r="I458" s="2">
        <v>45701</v>
      </c>
    </row>
    <row r="459" spans="1:9" x14ac:dyDescent="0.35">
      <c r="A459" s="1" t="s">
        <v>485</v>
      </c>
      <c r="B459" s="1" t="s">
        <v>27</v>
      </c>
      <c r="C459" s="1" t="s">
        <v>11</v>
      </c>
      <c r="D459" s="1" t="s">
        <v>12</v>
      </c>
      <c r="E459">
        <v>681</v>
      </c>
      <c r="F459">
        <v>383</v>
      </c>
      <c r="G459" s="1" t="s">
        <v>13</v>
      </c>
      <c r="H459" s="1" t="s">
        <v>18</v>
      </c>
      <c r="I459" s="2">
        <v>45676</v>
      </c>
    </row>
    <row r="460" spans="1:9" x14ac:dyDescent="0.35">
      <c r="A460" s="1" t="s">
        <v>486</v>
      </c>
      <c r="B460" s="1" t="s">
        <v>16</v>
      </c>
      <c r="C460" s="1" t="s">
        <v>32</v>
      </c>
      <c r="D460" s="1" t="s">
        <v>21</v>
      </c>
      <c r="E460">
        <v>1105</v>
      </c>
      <c r="F460">
        <v>69</v>
      </c>
      <c r="G460" s="1" t="s">
        <v>13</v>
      </c>
      <c r="H460" s="1" t="s">
        <v>18</v>
      </c>
      <c r="I460" s="2">
        <v>45753</v>
      </c>
    </row>
    <row r="461" spans="1:9" x14ac:dyDescent="0.35">
      <c r="A461" s="1" t="s">
        <v>487</v>
      </c>
      <c r="B461" s="1" t="s">
        <v>37</v>
      </c>
      <c r="C461" s="1" t="s">
        <v>25</v>
      </c>
      <c r="D461" s="1" t="s">
        <v>12</v>
      </c>
      <c r="E461">
        <v>301</v>
      </c>
      <c r="F461">
        <v>195</v>
      </c>
      <c r="G461" s="1" t="s">
        <v>13</v>
      </c>
      <c r="H461" s="1" t="s">
        <v>33</v>
      </c>
      <c r="I461" s="2">
        <v>45662</v>
      </c>
    </row>
    <row r="462" spans="1:9" x14ac:dyDescent="0.35">
      <c r="A462" s="1" t="s">
        <v>488</v>
      </c>
      <c r="B462" s="1" t="s">
        <v>48</v>
      </c>
      <c r="C462" s="1" t="s">
        <v>32</v>
      </c>
      <c r="D462" s="1" t="s">
        <v>51</v>
      </c>
      <c r="E462">
        <v>1735</v>
      </c>
      <c r="F462">
        <v>365</v>
      </c>
      <c r="G462" s="1" t="s">
        <v>13</v>
      </c>
      <c r="H462" s="1" t="s">
        <v>23</v>
      </c>
      <c r="I462" s="2">
        <v>45705</v>
      </c>
    </row>
    <row r="463" spans="1:9" x14ac:dyDescent="0.35">
      <c r="A463" s="1" t="s">
        <v>489</v>
      </c>
      <c r="B463" s="1" t="s">
        <v>10</v>
      </c>
      <c r="C463" s="1" t="s">
        <v>17</v>
      </c>
      <c r="D463" s="1" t="s">
        <v>21</v>
      </c>
      <c r="E463">
        <v>1862</v>
      </c>
      <c r="F463">
        <v>209</v>
      </c>
      <c r="G463" s="1" t="s">
        <v>13</v>
      </c>
      <c r="H463" s="1" t="s">
        <v>14</v>
      </c>
      <c r="I463" s="2">
        <v>45674</v>
      </c>
    </row>
    <row r="464" spans="1:9" x14ac:dyDescent="0.35">
      <c r="A464" s="1" t="s">
        <v>490</v>
      </c>
      <c r="B464" s="1" t="s">
        <v>16</v>
      </c>
      <c r="C464" s="1" t="s">
        <v>25</v>
      </c>
      <c r="D464" s="1" t="s">
        <v>51</v>
      </c>
      <c r="E464">
        <v>1096</v>
      </c>
      <c r="F464">
        <v>398</v>
      </c>
      <c r="G464" s="1" t="s">
        <v>13</v>
      </c>
      <c r="H464" s="1" t="s">
        <v>23</v>
      </c>
      <c r="I464" s="2">
        <v>45722</v>
      </c>
    </row>
    <row r="465" spans="1:9" x14ac:dyDescent="0.35">
      <c r="A465" s="1" t="s">
        <v>491</v>
      </c>
      <c r="B465" s="1" t="s">
        <v>48</v>
      </c>
      <c r="C465" s="1" t="s">
        <v>17</v>
      </c>
      <c r="D465" s="1" t="s">
        <v>12</v>
      </c>
      <c r="E465">
        <v>757</v>
      </c>
      <c r="F465">
        <v>92</v>
      </c>
      <c r="G465" s="1" t="s">
        <v>13</v>
      </c>
      <c r="H465" s="1" t="s">
        <v>23</v>
      </c>
      <c r="I465" s="2">
        <v>45770</v>
      </c>
    </row>
    <row r="466" spans="1:9" x14ac:dyDescent="0.35">
      <c r="A466" s="1" t="s">
        <v>492</v>
      </c>
      <c r="B466" s="1" t="s">
        <v>27</v>
      </c>
      <c r="C466" s="1" t="s">
        <v>25</v>
      </c>
      <c r="D466" s="1" t="s">
        <v>21</v>
      </c>
      <c r="E466">
        <v>1790</v>
      </c>
      <c r="F466">
        <v>303</v>
      </c>
      <c r="G466" s="1" t="s">
        <v>13</v>
      </c>
      <c r="H466" s="1" t="s">
        <v>33</v>
      </c>
      <c r="I466" s="2">
        <v>45741</v>
      </c>
    </row>
    <row r="467" spans="1:9" x14ac:dyDescent="0.35">
      <c r="A467" s="1" t="s">
        <v>493</v>
      </c>
      <c r="B467" s="1" t="s">
        <v>27</v>
      </c>
      <c r="C467" s="1" t="s">
        <v>11</v>
      </c>
      <c r="D467" s="1" t="s">
        <v>12</v>
      </c>
      <c r="E467">
        <v>569</v>
      </c>
      <c r="F467">
        <v>179</v>
      </c>
      <c r="G467" s="1" t="s">
        <v>13</v>
      </c>
      <c r="H467" s="1" t="s">
        <v>23</v>
      </c>
      <c r="I467" s="2">
        <v>45760</v>
      </c>
    </row>
    <row r="468" spans="1:9" x14ac:dyDescent="0.35">
      <c r="A468" s="1" t="s">
        <v>494</v>
      </c>
      <c r="B468" s="1" t="s">
        <v>48</v>
      </c>
      <c r="C468" s="1" t="s">
        <v>11</v>
      </c>
      <c r="D468" s="1" t="s">
        <v>12</v>
      </c>
      <c r="E468">
        <v>1423</v>
      </c>
      <c r="F468">
        <v>109</v>
      </c>
      <c r="G468" s="1" t="s">
        <v>13</v>
      </c>
      <c r="H468" s="1" t="s">
        <v>42</v>
      </c>
      <c r="I468" s="2">
        <v>45763</v>
      </c>
    </row>
    <row r="469" spans="1:9" x14ac:dyDescent="0.35">
      <c r="A469" s="1" t="s">
        <v>495</v>
      </c>
      <c r="B469" s="1" t="s">
        <v>27</v>
      </c>
      <c r="C469" s="1" t="s">
        <v>11</v>
      </c>
      <c r="D469" s="1" t="s">
        <v>12</v>
      </c>
      <c r="E469">
        <v>1290</v>
      </c>
      <c r="F469">
        <v>200</v>
      </c>
      <c r="G469" s="1" t="s">
        <v>13</v>
      </c>
      <c r="H469" s="1" t="s">
        <v>18</v>
      </c>
      <c r="I469" s="2">
        <v>45759</v>
      </c>
    </row>
    <row r="470" spans="1:9" x14ac:dyDescent="0.35">
      <c r="A470" s="1" t="s">
        <v>496</v>
      </c>
      <c r="B470" s="1" t="s">
        <v>37</v>
      </c>
      <c r="C470" s="1" t="s">
        <v>32</v>
      </c>
      <c r="D470" s="1" t="s">
        <v>21</v>
      </c>
      <c r="E470">
        <v>1015</v>
      </c>
      <c r="F470">
        <v>336</v>
      </c>
      <c r="G470" s="1" t="s">
        <v>13</v>
      </c>
      <c r="H470" s="1" t="s">
        <v>42</v>
      </c>
      <c r="I470" s="2">
        <v>45698</v>
      </c>
    </row>
    <row r="471" spans="1:9" x14ac:dyDescent="0.35">
      <c r="A471" s="1" t="s">
        <v>497</v>
      </c>
      <c r="B471" s="1" t="s">
        <v>37</v>
      </c>
      <c r="C471" s="1" t="s">
        <v>17</v>
      </c>
      <c r="D471" s="1" t="s">
        <v>51</v>
      </c>
      <c r="E471">
        <v>1685</v>
      </c>
      <c r="F471">
        <v>54</v>
      </c>
      <c r="G471" s="1" t="s">
        <v>13</v>
      </c>
      <c r="H471" s="1" t="s">
        <v>14</v>
      </c>
      <c r="I471" s="2">
        <v>45741</v>
      </c>
    </row>
    <row r="472" spans="1:9" x14ac:dyDescent="0.35">
      <c r="A472" s="1" t="s">
        <v>498</v>
      </c>
      <c r="B472" s="1" t="s">
        <v>48</v>
      </c>
      <c r="C472" s="1" t="s">
        <v>32</v>
      </c>
      <c r="D472" s="1" t="s">
        <v>21</v>
      </c>
      <c r="E472">
        <v>1913</v>
      </c>
      <c r="F472">
        <v>315</v>
      </c>
      <c r="G472" s="1" t="s">
        <v>13</v>
      </c>
      <c r="H472" s="1" t="s">
        <v>18</v>
      </c>
      <c r="I472" s="2">
        <v>45727</v>
      </c>
    </row>
    <row r="473" spans="1:9" x14ac:dyDescent="0.35">
      <c r="A473" s="1" t="s">
        <v>499</v>
      </c>
      <c r="B473" s="1" t="s">
        <v>16</v>
      </c>
      <c r="C473" s="1" t="s">
        <v>11</v>
      </c>
      <c r="D473" s="1" t="s">
        <v>12</v>
      </c>
      <c r="E473">
        <v>727</v>
      </c>
      <c r="F473">
        <v>394</v>
      </c>
      <c r="G473" s="1" t="s">
        <v>13</v>
      </c>
      <c r="H473" s="1" t="s">
        <v>23</v>
      </c>
      <c r="I473" s="2">
        <v>45668</v>
      </c>
    </row>
    <row r="474" spans="1:9" x14ac:dyDescent="0.35">
      <c r="A474" s="1" t="s">
        <v>500</v>
      </c>
      <c r="B474" s="1" t="s">
        <v>16</v>
      </c>
      <c r="C474" s="1" t="s">
        <v>17</v>
      </c>
      <c r="D474" s="1" t="s">
        <v>12</v>
      </c>
      <c r="E474">
        <v>484</v>
      </c>
      <c r="F474">
        <v>179</v>
      </c>
      <c r="G474" s="1" t="s">
        <v>13</v>
      </c>
      <c r="H474" s="1" t="s">
        <v>14</v>
      </c>
      <c r="I474" s="2">
        <v>45731</v>
      </c>
    </row>
    <row r="475" spans="1:9" x14ac:dyDescent="0.35">
      <c r="A475" s="1" t="s">
        <v>501</v>
      </c>
      <c r="B475" s="1" t="s">
        <v>48</v>
      </c>
      <c r="C475" s="1" t="s">
        <v>11</v>
      </c>
      <c r="D475" s="1" t="s">
        <v>21</v>
      </c>
      <c r="E475">
        <v>1591</v>
      </c>
      <c r="F475">
        <v>316</v>
      </c>
      <c r="G475" s="1" t="s">
        <v>13</v>
      </c>
      <c r="H475" s="1" t="s">
        <v>18</v>
      </c>
      <c r="I475" s="2">
        <v>45750</v>
      </c>
    </row>
    <row r="476" spans="1:9" x14ac:dyDescent="0.35">
      <c r="A476" s="1" t="s">
        <v>502</v>
      </c>
      <c r="B476" s="1" t="s">
        <v>16</v>
      </c>
      <c r="C476" s="1" t="s">
        <v>32</v>
      </c>
      <c r="D476" s="1" t="s">
        <v>12</v>
      </c>
      <c r="E476">
        <v>1081</v>
      </c>
      <c r="F476">
        <v>227</v>
      </c>
      <c r="G476" s="1" t="s">
        <v>13</v>
      </c>
      <c r="H476" s="1" t="s">
        <v>23</v>
      </c>
      <c r="I476" s="2">
        <v>45748</v>
      </c>
    </row>
    <row r="477" spans="1:9" x14ac:dyDescent="0.35">
      <c r="A477" s="1" t="s">
        <v>503</v>
      </c>
      <c r="B477" s="1" t="s">
        <v>16</v>
      </c>
      <c r="C477" s="1" t="s">
        <v>32</v>
      </c>
      <c r="D477" s="1" t="s">
        <v>12</v>
      </c>
      <c r="E477">
        <v>1947</v>
      </c>
      <c r="F477">
        <v>302</v>
      </c>
      <c r="G477" s="1" t="s">
        <v>13</v>
      </c>
      <c r="H477" s="1" t="s">
        <v>42</v>
      </c>
      <c r="I477" s="2">
        <v>45706</v>
      </c>
    </row>
    <row r="478" spans="1:9" x14ac:dyDescent="0.35">
      <c r="A478" s="1" t="s">
        <v>504</v>
      </c>
      <c r="B478" s="1" t="s">
        <v>37</v>
      </c>
      <c r="C478" s="1" t="s">
        <v>32</v>
      </c>
      <c r="D478" s="1" t="s">
        <v>12</v>
      </c>
      <c r="E478">
        <v>444</v>
      </c>
      <c r="F478">
        <v>105</v>
      </c>
      <c r="G478" s="1" t="s">
        <v>13</v>
      </c>
      <c r="H478" s="1" t="s">
        <v>18</v>
      </c>
      <c r="I478" s="2">
        <v>45770</v>
      </c>
    </row>
    <row r="479" spans="1:9" x14ac:dyDescent="0.35">
      <c r="A479" s="1" t="s">
        <v>505</v>
      </c>
      <c r="B479" s="1" t="s">
        <v>16</v>
      </c>
      <c r="C479" s="1" t="s">
        <v>11</v>
      </c>
      <c r="D479" s="1" t="s">
        <v>12</v>
      </c>
      <c r="E479">
        <v>904</v>
      </c>
      <c r="F479">
        <v>132</v>
      </c>
      <c r="G479" s="1" t="s">
        <v>13</v>
      </c>
      <c r="H479" s="1" t="s">
        <v>23</v>
      </c>
      <c r="I479" s="2">
        <v>45765</v>
      </c>
    </row>
    <row r="480" spans="1:9" x14ac:dyDescent="0.35">
      <c r="A480" s="1" t="s">
        <v>506</v>
      </c>
      <c r="B480" s="1" t="s">
        <v>20</v>
      </c>
      <c r="C480" s="1" t="s">
        <v>17</v>
      </c>
      <c r="D480" s="1" t="s">
        <v>12</v>
      </c>
      <c r="E480">
        <v>1544</v>
      </c>
      <c r="F480">
        <v>148</v>
      </c>
      <c r="G480" s="1" t="s">
        <v>13</v>
      </c>
      <c r="H480" s="1" t="s">
        <v>42</v>
      </c>
      <c r="I480" s="2">
        <v>45688</v>
      </c>
    </row>
    <row r="481" spans="1:9" x14ac:dyDescent="0.35">
      <c r="A481" s="1" t="s">
        <v>507</v>
      </c>
      <c r="B481" s="1" t="s">
        <v>10</v>
      </c>
      <c r="C481" s="1" t="s">
        <v>17</v>
      </c>
      <c r="D481" s="1" t="s">
        <v>12</v>
      </c>
      <c r="E481">
        <v>335</v>
      </c>
      <c r="F481">
        <v>198</v>
      </c>
      <c r="G481" s="1" t="s">
        <v>13</v>
      </c>
      <c r="H481" s="1" t="s">
        <v>14</v>
      </c>
      <c r="I481" s="2">
        <v>45664</v>
      </c>
    </row>
    <row r="482" spans="1:9" x14ac:dyDescent="0.35">
      <c r="A482" s="1" t="s">
        <v>508</v>
      </c>
      <c r="B482" s="1" t="s">
        <v>27</v>
      </c>
      <c r="C482" s="1" t="s">
        <v>11</v>
      </c>
      <c r="D482" s="1" t="s">
        <v>12</v>
      </c>
      <c r="E482">
        <v>1419</v>
      </c>
      <c r="F482">
        <v>378</v>
      </c>
      <c r="G482" s="1" t="s">
        <v>13</v>
      </c>
      <c r="H482" s="1" t="s">
        <v>14</v>
      </c>
      <c r="I482" s="2">
        <v>45731</v>
      </c>
    </row>
    <row r="483" spans="1:9" x14ac:dyDescent="0.35">
      <c r="A483" s="1" t="s">
        <v>509</v>
      </c>
      <c r="B483" s="1" t="s">
        <v>20</v>
      </c>
      <c r="C483" s="1" t="s">
        <v>17</v>
      </c>
      <c r="D483" s="1" t="s">
        <v>12</v>
      </c>
      <c r="E483">
        <v>786</v>
      </c>
      <c r="F483">
        <v>205</v>
      </c>
      <c r="G483" s="1" t="s">
        <v>13</v>
      </c>
      <c r="H483" s="1" t="s">
        <v>14</v>
      </c>
      <c r="I483" s="2">
        <v>45776</v>
      </c>
    </row>
    <row r="484" spans="1:9" x14ac:dyDescent="0.35">
      <c r="A484" s="1" t="s">
        <v>510</v>
      </c>
      <c r="B484" s="1" t="s">
        <v>16</v>
      </c>
      <c r="C484" s="1" t="s">
        <v>11</v>
      </c>
      <c r="D484" s="1" t="s">
        <v>51</v>
      </c>
      <c r="E484">
        <v>1441</v>
      </c>
      <c r="F484">
        <v>239</v>
      </c>
      <c r="G484" s="1" t="s">
        <v>13</v>
      </c>
      <c r="H484" s="1" t="s">
        <v>14</v>
      </c>
      <c r="I484" s="2">
        <v>45731</v>
      </c>
    </row>
    <row r="485" spans="1:9" x14ac:dyDescent="0.35">
      <c r="A485" s="1" t="s">
        <v>511</v>
      </c>
      <c r="B485" s="1" t="s">
        <v>37</v>
      </c>
      <c r="C485" s="1" t="s">
        <v>17</v>
      </c>
      <c r="D485" s="1" t="s">
        <v>12</v>
      </c>
      <c r="E485">
        <v>1816</v>
      </c>
      <c r="F485">
        <v>312</v>
      </c>
      <c r="G485" s="1" t="s">
        <v>13</v>
      </c>
      <c r="H485" s="1" t="s">
        <v>33</v>
      </c>
      <c r="I485" s="2">
        <v>45753</v>
      </c>
    </row>
    <row r="486" spans="1:9" x14ac:dyDescent="0.35">
      <c r="A486" s="1" t="s">
        <v>512</v>
      </c>
      <c r="B486" s="1" t="s">
        <v>48</v>
      </c>
      <c r="C486" s="1" t="s">
        <v>25</v>
      </c>
      <c r="D486" s="1" t="s">
        <v>12</v>
      </c>
      <c r="E486">
        <v>1410</v>
      </c>
      <c r="F486">
        <v>129</v>
      </c>
      <c r="G486" s="1" t="s">
        <v>13</v>
      </c>
      <c r="H486" s="1" t="s">
        <v>18</v>
      </c>
      <c r="I486" s="2">
        <v>45713</v>
      </c>
    </row>
    <row r="487" spans="1:9" x14ac:dyDescent="0.35">
      <c r="A487" s="1" t="s">
        <v>513</v>
      </c>
      <c r="B487" s="1" t="s">
        <v>16</v>
      </c>
      <c r="C487" s="1" t="s">
        <v>25</v>
      </c>
      <c r="D487" s="1" t="s">
        <v>12</v>
      </c>
      <c r="E487">
        <v>679</v>
      </c>
      <c r="F487">
        <v>301</v>
      </c>
      <c r="G487" s="1" t="s">
        <v>13</v>
      </c>
      <c r="H487" s="1" t="s">
        <v>18</v>
      </c>
      <c r="I487" s="2">
        <v>45747</v>
      </c>
    </row>
    <row r="488" spans="1:9" x14ac:dyDescent="0.35">
      <c r="A488" s="1" t="s">
        <v>514</v>
      </c>
      <c r="B488" s="1" t="s">
        <v>37</v>
      </c>
      <c r="C488" s="1" t="s">
        <v>32</v>
      </c>
      <c r="D488" s="1" t="s">
        <v>12</v>
      </c>
      <c r="E488">
        <v>1725</v>
      </c>
      <c r="F488">
        <v>146</v>
      </c>
      <c r="G488" s="1" t="s">
        <v>13</v>
      </c>
      <c r="H488" s="1" t="s">
        <v>33</v>
      </c>
      <c r="I488" s="2">
        <v>45749</v>
      </c>
    </row>
    <row r="489" spans="1:9" x14ac:dyDescent="0.35">
      <c r="A489" s="1" t="s">
        <v>515</v>
      </c>
      <c r="B489" s="1" t="s">
        <v>10</v>
      </c>
      <c r="C489" s="1" t="s">
        <v>25</v>
      </c>
      <c r="D489" s="1" t="s">
        <v>51</v>
      </c>
      <c r="E489">
        <v>170</v>
      </c>
      <c r="F489">
        <v>309</v>
      </c>
      <c r="G489" s="1" t="s">
        <v>13</v>
      </c>
      <c r="H489" s="1" t="s">
        <v>23</v>
      </c>
      <c r="I489" s="2">
        <v>45744</v>
      </c>
    </row>
    <row r="490" spans="1:9" x14ac:dyDescent="0.35">
      <c r="A490" s="1" t="s">
        <v>516</v>
      </c>
      <c r="B490" s="1" t="s">
        <v>16</v>
      </c>
      <c r="C490" s="1" t="s">
        <v>25</v>
      </c>
      <c r="D490" s="1" t="s">
        <v>21</v>
      </c>
      <c r="E490">
        <v>1060</v>
      </c>
      <c r="F490">
        <v>309</v>
      </c>
      <c r="G490" s="1" t="s">
        <v>13</v>
      </c>
      <c r="H490" s="1" t="s">
        <v>23</v>
      </c>
      <c r="I490" s="2">
        <v>45684</v>
      </c>
    </row>
    <row r="491" spans="1:9" x14ac:dyDescent="0.35">
      <c r="A491" s="1" t="s">
        <v>517</v>
      </c>
      <c r="B491" s="1" t="s">
        <v>48</v>
      </c>
      <c r="C491" s="1" t="s">
        <v>25</v>
      </c>
      <c r="D491" s="1" t="s">
        <v>12</v>
      </c>
      <c r="E491">
        <v>1910</v>
      </c>
      <c r="F491">
        <v>152</v>
      </c>
      <c r="G491" s="1" t="s">
        <v>13</v>
      </c>
      <c r="H491" s="1" t="s">
        <v>14</v>
      </c>
      <c r="I491" s="2">
        <v>45669</v>
      </c>
    </row>
    <row r="492" spans="1:9" x14ac:dyDescent="0.35">
      <c r="A492" s="1" t="s">
        <v>518</v>
      </c>
      <c r="B492" s="1" t="s">
        <v>37</v>
      </c>
      <c r="C492" s="1" t="s">
        <v>11</v>
      </c>
      <c r="D492" s="1" t="s">
        <v>12</v>
      </c>
      <c r="E492">
        <v>1016</v>
      </c>
      <c r="F492">
        <v>89</v>
      </c>
      <c r="G492" s="1" t="s">
        <v>13</v>
      </c>
      <c r="H492" s="1" t="s">
        <v>42</v>
      </c>
      <c r="I492" s="2">
        <v>45732</v>
      </c>
    </row>
    <row r="493" spans="1:9" x14ac:dyDescent="0.35">
      <c r="A493" s="1" t="s">
        <v>519</v>
      </c>
      <c r="B493" s="1" t="s">
        <v>37</v>
      </c>
      <c r="C493" s="1" t="s">
        <v>25</v>
      </c>
      <c r="D493" s="1" t="s">
        <v>21</v>
      </c>
      <c r="E493">
        <v>943</v>
      </c>
      <c r="F493">
        <v>322</v>
      </c>
      <c r="G493" s="1" t="s">
        <v>13</v>
      </c>
      <c r="H493" s="1" t="s">
        <v>23</v>
      </c>
      <c r="I493" s="2">
        <v>45727</v>
      </c>
    </row>
    <row r="494" spans="1:9" x14ac:dyDescent="0.35">
      <c r="A494" s="1" t="s">
        <v>520</v>
      </c>
      <c r="B494" s="1" t="s">
        <v>37</v>
      </c>
      <c r="C494" s="1" t="s">
        <v>25</v>
      </c>
      <c r="D494" s="1" t="s">
        <v>51</v>
      </c>
      <c r="E494">
        <v>1693</v>
      </c>
      <c r="F494">
        <v>150</v>
      </c>
      <c r="G494" s="1" t="s">
        <v>13</v>
      </c>
      <c r="H494" s="1" t="s">
        <v>42</v>
      </c>
      <c r="I494" s="2">
        <v>45705</v>
      </c>
    </row>
    <row r="495" spans="1:9" x14ac:dyDescent="0.35">
      <c r="A495" s="1" t="s">
        <v>521</v>
      </c>
      <c r="B495" s="1" t="s">
        <v>10</v>
      </c>
      <c r="C495" s="1" t="s">
        <v>32</v>
      </c>
      <c r="D495" s="1" t="s">
        <v>12</v>
      </c>
      <c r="E495">
        <v>249</v>
      </c>
      <c r="F495">
        <v>357</v>
      </c>
      <c r="G495" s="1" t="s">
        <v>13</v>
      </c>
      <c r="H495" s="1" t="s">
        <v>18</v>
      </c>
      <c r="I495" s="2">
        <v>45773</v>
      </c>
    </row>
    <row r="496" spans="1:9" x14ac:dyDescent="0.35">
      <c r="A496" s="1" t="s">
        <v>522</v>
      </c>
      <c r="B496" s="1" t="s">
        <v>16</v>
      </c>
      <c r="C496" s="1" t="s">
        <v>25</v>
      </c>
      <c r="D496" s="1" t="s">
        <v>12</v>
      </c>
      <c r="E496">
        <v>901</v>
      </c>
      <c r="F496">
        <v>270</v>
      </c>
      <c r="G496" s="1" t="s">
        <v>13</v>
      </c>
      <c r="H496" s="1" t="s">
        <v>42</v>
      </c>
      <c r="I496" s="2">
        <v>45745</v>
      </c>
    </row>
    <row r="497" spans="1:13" x14ac:dyDescent="0.35">
      <c r="A497" s="1" t="s">
        <v>523</v>
      </c>
      <c r="B497" s="1" t="s">
        <v>10</v>
      </c>
      <c r="C497" s="1" t="s">
        <v>25</v>
      </c>
      <c r="D497" s="1" t="s">
        <v>12</v>
      </c>
      <c r="E497">
        <v>627</v>
      </c>
      <c r="F497">
        <v>357</v>
      </c>
      <c r="G497" s="1" t="s">
        <v>13</v>
      </c>
      <c r="H497" s="1" t="s">
        <v>18</v>
      </c>
      <c r="I497" s="2">
        <v>45749</v>
      </c>
    </row>
    <row r="498" spans="1:13" x14ac:dyDescent="0.35">
      <c r="A498" s="1" t="s">
        <v>524</v>
      </c>
      <c r="B498" s="1" t="s">
        <v>27</v>
      </c>
      <c r="C498" s="1" t="s">
        <v>17</v>
      </c>
      <c r="D498" s="1" t="s">
        <v>51</v>
      </c>
      <c r="E498">
        <v>1772</v>
      </c>
      <c r="F498">
        <v>173</v>
      </c>
      <c r="G498" s="1" t="s">
        <v>13</v>
      </c>
      <c r="H498" s="1" t="s">
        <v>33</v>
      </c>
      <c r="I498" s="2">
        <v>45673</v>
      </c>
    </row>
    <row r="499" spans="1:13" x14ac:dyDescent="0.35">
      <c r="A499" s="1" t="s">
        <v>525</v>
      </c>
      <c r="B499" s="1" t="s">
        <v>27</v>
      </c>
      <c r="C499" s="1" t="s">
        <v>32</v>
      </c>
      <c r="D499" s="1" t="s">
        <v>12</v>
      </c>
      <c r="E499">
        <v>1471</v>
      </c>
      <c r="F499">
        <v>280</v>
      </c>
      <c r="G499" s="1" t="s">
        <v>13</v>
      </c>
      <c r="H499" s="1" t="s">
        <v>33</v>
      </c>
      <c r="I499" s="2">
        <v>45686</v>
      </c>
    </row>
    <row r="500" spans="1:13" x14ac:dyDescent="0.35">
      <c r="A500" s="1" t="s">
        <v>526</v>
      </c>
      <c r="B500" s="1" t="s">
        <v>16</v>
      </c>
      <c r="C500" s="1" t="s">
        <v>32</v>
      </c>
      <c r="D500" s="1" t="s">
        <v>51</v>
      </c>
      <c r="E500">
        <v>1089</v>
      </c>
      <c r="F500">
        <v>227</v>
      </c>
      <c r="G500" s="1" t="s">
        <v>13</v>
      </c>
      <c r="H500" s="1" t="s">
        <v>14</v>
      </c>
      <c r="I500" s="2">
        <v>45774</v>
      </c>
    </row>
    <row r="501" spans="1:13" x14ac:dyDescent="0.35">
      <c r="A501" s="1" t="s">
        <v>527</v>
      </c>
      <c r="B501" s="1" t="s">
        <v>10</v>
      </c>
      <c r="C501" s="1" t="s">
        <v>32</v>
      </c>
      <c r="D501" s="1" t="s">
        <v>12</v>
      </c>
      <c r="E501">
        <v>675</v>
      </c>
      <c r="F501">
        <v>112</v>
      </c>
      <c r="G501" s="1" t="s">
        <v>13</v>
      </c>
      <c r="H501" s="1" t="s">
        <v>23</v>
      </c>
      <c r="I501" s="2">
        <v>45778</v>
      </c>
    </row>
    <row r="502" spans="1:13" ht="15" thickBot="1" x14ac:dyDescent="0.4"/>
    <row r="503" spans="1:13" ht="15" thickBot="1" x14ac:dyDescent="0.4">
      <c r="A503" s="19" t="s">
        <v>1086</v>
      </c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1"/>
    </row>
    <row r="504" spans="1:13" x14ac:dyDescent="0.35">
      <c r="A504" s="7"/>
      <c r="B504" s="6" t="s">
        <v>1076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 spans="1:13" x14ac:dyDescent="0.35">
      <c r="A505" s="7"/>
      <c r="B505" s="7" t="s">
        <v>42</v>
      </c>
      <c r="C505" s="7"/>
      <c r="D505" s="7" t="s">
        <v>33</v>
      </c>
      <c r="E505" s="7"/>
      <c r="F505" s="7" t="s">
        <v>23</v>
      </c>
      <c r="G505" s="7"/>
      <c r="H505" s="7" t="s">
        <v>18</v>
      </c>
      <c r="I505" s="7"/>
      <c r="J505" s="7" t="s">
        <v>14</v>
      </c>
      <c r="K505" s="7"/>
      <c r="L505" s="7" t="s">
        <v>1085</v>
      </c>
      <c r="M505" s="7" t="s">
        <v>1083</v>
      </c>
    </row>
    <row r="506" spans="1:13" x14ac:dyDescent="0.35">
      <c r="A506" s="6" t="s">
        <v>1062</v>
      </c>
      <c r="B506" s="7" t="s">
        <v>1068</v>
      </c>
      <c r="C506" s="7" t="s">
        <v>1082</v>
      </c>
      <c r="D506" s="7" t="s">
        <v>1068</v>
      </c>
      <c r="E506" s="7" t="s">
        <v>1082</v>
      </c>
      <c r="F506" s="7" t="s">
        <v>1068</v>
      </c>
      <c r="G506" s="7" t="s">
        <v>1082</v>
      </c>
      <c r="H506" s="7" t="s">
        <v>1068</v>
      </c>
      <c r="I506" s="7" t="s">
        <v>1082</v>
      </c>
      <c r="J506" s="7" t="s">
        <v>1068</v>
      </c>
      <c r="K506" s="7" t="s">
        <v>1082</v>
      </c>
      <c r="L506" s="7"/>
      <c r="M506" s="7"/>
    </row>
    <row r="507" spans="1:13" x14ac:dyDescent="0.35">
      <c r="A507" s="8" t="s">
        <v>37</v>
      </c>
      <c r="B507" s="10">
        <v>18</v>
      </c>
      <c r="C507" s="10">
        <v>21212</v>
      </c>
      <c r="D507" s="10">
        <v>19</v>
      </c>
      <c r="E507" s="10">
        <v>20769</v>
      </c>
      <c r="F507" s="10">
        <v>14</v>
      </c>
      <c r="G507" s="10">
        <v>16143</v>
      </c>
      <c r="H507" s="10">
        <v>20</v>
      </c>
      <c r="I507" s="10">
        <v>21879</v>
      </c>
      <c r="J507" s="10">
        <v>15</v>
      </c>
      <c r="K507" s="10">
        <v>14784</v>
      </c>
      <c r="L507" s="10">
        <v>86</v>
      </c>
      <c r="M507" s="10">
        <v>94787</v>
      </c>
    </row>
    <row r="508" spans="1:13" x14ac:dyDescent="0.35">
      <c r="A508" s="8" t="s">
        <v>16</v>
      </c>
      <c r="B508" s="10">
        <v>11</v>
      </c>
      <c r="C508" s="10">
        <v>9463</v>
      </c>
      <c r="D508" s="10">
        <v>19</v>
      </c>
      <c r="E508" s="10">
        <v>22466</v>
      </c>
      <c r="F508" s="10">
        <v>13</v>
      </c>
      <c r="G508" s="10">
        <v>15553</v>
      </c>
      <c r="H508" s="10">
        <v>12</v>
      </c>
      <c r="I508" s="10">
        <v>16020</v>
      </c>
      <c r="J508" s="10">
        <v>20</v>
      </c>
      <c r="K508" s="10">
        <v>21792</v>
      </c>
      <c r="L508" s="10">
        <v>75</v>
      </c>
      <c r="M508" s="10">
        <v>85294</v>
      </c>
    </row>
    <row r="509" spans="1:13" x14ac:dyDescent="0.35">
      <c r="A509" s="8" t="s">
        <v>20</v>
      </c>
      <c r="B509" s="10">
        <v>16</v>
      </c>
      <c r="C509" s="10">
        <v>20300</v>
      </c>
      <c r="D509" s="10">
        <v>15</v>
      </c>
      <c r="E509" s="10">
        <v>14209</v>
      </c>
      <c r="F509" s="10">
        <v>14</v>
      </c>
      <c r="G509" s="10">
        <v>14148</v>
      </c>
      <c r="H509" s="10">
        <v>15</v>
      </c>
      <c r="I509" s="10">
        <v>20131</v>
      </c>
      <c r="J509" s="10">
        <v>17</v>
      </c>
      <c r="K509" s="10">
        <v>14922</v>
      </c>
      <c r="L509" s="10">
        <v>77</v>
      </c>
      <c r="M509" s="10">
        <v>83710</v>
      </c>
    </row>
    <row r="510" spans="1:13" x14ac:dyDescent="0.35">
      <c r="A510" s="8" t="s">
        <v>27</v>
      </c>
      <c r="B510" s="10">
        <v>19</v>
      </c>
      <c r="C510" s="10">
        <v>19754</v>
      </c>
      <c r="D510" s="10">
        <v>18</v>
      </c>
      <c r="E510" s="10">
        <v>18786</v>
      </c>
      <c r="F510" s="10">
        <v>5</v>
      </c>
      <c r="G510" s="10">
        <v>4398</v>
      </c>
      <c r="H510" s="10">
        <v>14</v>
      </c>
      <c r="I510" s="10">
        <v>12898</v>
      </c>
      <c r="J510" s="10">
        <v>19</v>
      </c>
      <c r="K510" s="10">
        <v>23685</v>
      </c>
      <c r="L510" s="10">
        <v>75</v>
      </c>
      <c r="M510" s="10">
        <v>79521</v>
      </c>
    </row>
    <row r="511" spans="1:13" x14ac:dyDescent="0.35">
      <c r="A511" s="8" t="s">
        <v>10</v>
      </c>
      <c r="B511" s="10">
        <v>11</v>
      </c>
      <c r="C511" s="10">
        <v>13223</v>
      </c>
      <c r="D511" s="10">
        <v>16</v>
      </c>
      <c r="E511" s="10">
        <v>17054</v>
      </c>
      <c r="F511" s="10">
        <v>27</v>
      </c>
      <c r="G511" s="10">
        <v>23290</v>
      </c>
      <c r="H511" s="10">
        <v>21</v>
      </c>
      <c r="I511" s="10">
        <v>23970</v>
      </c>
      <c r="J511" s="10">
        <v>22</v>
      </c>
      <c r="K511" s="10">
        <v>25808</v>
      </c>
      <c r="L511" s="10">
        <v>97</v>
      </c>
      <c r="M511" s="10">
        <v>103345</v>
      </c>
    </row>
    <row r="512" spans="1:13" x14ac:dyDescent="0.35">
      <c r="A512" s="8" t="s">
        <v>48</v>
      </c>
      <c r="B512" s="10">
        <v>19</v>
      </c>
      <c r="C512" s="10">
        <v>18740</v>
      </c>
      <c r="D512" s="10">
        <v>14</v>
      </c>
      <c r="E512" s="10">
        <v>13747</v>
      </c>
      <c r="F512" s="10">
        <v>16</v>
      </c>
      <c r="G512" s="10">
        <v>12603</v>
      </c>
      <c r="H512" s="10">
        <v>26</v>
      </c>
      <c r="I512" s="10">
        <v>29868</v>
      </c>
      <c r="J512" s="10">
        <v>15</v>
      </c>
      <c r="K512" s="10">
        <v>14205</v>
      </c>
      <c r="L512" s="10">
        <v>90</v>
      </c>
      <c r="M512" s="10">
        <v>89163</v>
      </c>
    </row>
    <row r="513" spans="1:13" x14ac:dyDescent="0.35">
      <c r="A513" s="8" t="s">
        <v>1063</v>
      </c>
      <c r="B513" s="10">
        <v>94</v>
      </c>
      <c r="C513" s="10">
        <v>102692</v>
      </c>
      <c r="D513" s="10">
        <v>101</v>
      </c>
      <c r="E513" s="10">
        <v>107031</v>
      </c>
      <c r="F513" s="10">
        <v>89</v>
      </c>
      <c r="G513" s="10">
        <v>86135</v>
      </c>
      <c r="H513" s="10">
        <v>108</v>
      </c>
      <c r="I513" s="10">
        <v>124766</v>
      </c>
      <c r="J513" s="10">
        <v>108</v>
      </c>
      <c r="K513" s="10">
        <v>115196</v>
      </c>
      <c r="L513" s="10">
        <v>500</v>
      </c>
      <c r="M513" s="10">
        <v>535820</v>
      </c>
    </row>
    <row r="514" spans="1:13" ht="15" thickBot="1" x14ac:dyDescent="0.4"/>
    <row r="515" spans="1:13" ht="15" thickBot="1" x14ac:dyDescent="0.4">
      <c r="A515" s="19" t="s">
        <v>1091</v>
      </c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1"/>
    </row>
    <row r="516" spans="1:13" x14ac:dyDescent="0.35">
      <c r="B516" s="4" t="s">
        <v>1076</v>
      </c>
    </row>
    <row r="517" spans="1:13" x14ac:dyDescent="0.35">
      <c r="B517" t="s">
        <v>12</v>
      </c>
      <c r="E517" t="s">
        <v>21</v>
      </c>
      <c r="H517" t="s">
        <v>51</v>
      </c>
      <c r="K517" t="s">
        <v>1085</v>
      </c>
      <c r="L517" t="s">
        <v>1089</v>
      </c>
      <c r="M517" t="s">
        <v>1087</v>
      </c>
    </row>
    <row r="518" spans="1:13" x14ac:dyDescent="0.35">
      <c r="A518" s="4" t="s">
        <v>1062</v>
      </c>
      <c r="B518" t="s">
        <v>1068</v>
      </c>
      <c r="C518" t="s">
        <v>1090</v>
      </c>
      <c r="D518" t="s">
        <v>1088</v>
      </c>
      <c r="E518" t="s">
        <v>1068</v>
      </c>
      <c r="F518" t="s">
        <v>1090</v>
      </c>
      <c r="G518" t="s">
        <v>1088</v>
      </c>
      <c r="H518" t="s">
        <v>1068</v>
      </c>
      <c r="I518" t="s">
        <v>1090</v>
      </c>
      <c r="J518" t="s">
        <v>1088</v>
      </c>
    </row>
    <row r="519" spans="1:13" x14ac:dyDescent="0.35">
      <c r="A519" s="5" t="s">
        <v>25</v>
      </c>
      <c r="B519" s="1">
        <v>84</v>
      </c>
      <c r="C519" s="16">
        <v>1045.9047619047619</v>
      </c>
      <c r="D519" s="16">
        <v>87856</v>
      </c>
      <c r="E519" s="16">
        <v>18</v>
      </c>
      <c r="F519" s="16">
        <v>939.16666666666663</v>
      </c>
      <c r="G519" s="16">
        <v>16905</v>
      </c>
      <c r="H519" s="16">
        <v>14</v>
      </c>
      <c r="I519" s="16">
        <v>774.14285714285711</v>
      </c>
      <c r="J519" s="16">
        <v>10838</v>
      </c>
      <c r="K519" s="16">
        <v>116</v>
      </c>
      <c r="L519" s="16">
        <v>996.54310344827582</v>
      </c>
      <c r="M519" s="16">
        <v>115599</v>
      </c>
    </row>
    <row r="520" spans="1:13" x14ac:dyDescent="0.35">
      <c r="A520" s="5" t="s">
        <v>32</v>
      </c>
      <c r="B520" s="1">
        <v>92</v>
      </c>
      <c r="C520" s="16">
        <v>1138.945652173913</v>
      </c>
      <c r="D520" s="16">
        <v>104783</v>
      </c>
      <c r="E520" s="16">
        <v>15</v>
      </c>
      <c r="F520" s="16">
        <v>1025.5999999999999</v>
      </c>
      <c r="G520" s="16">
        <v>15384</v>
      </c>
      <c r="H520" s="16">
        <v>10</v>
      </c>
      <c r="I520" s="16">
        <v>1233.7</v>
      </c>
      <c r="J520" s="16">
        <v>12337</v>
      </c>
      <c r="K520" s="16">
        <v>117</v>
      </c>
      <c r="L520" s="16">
        <v>1132.5128205128206</v>
      </c>
      <c r="M520" s="16">
        <v>132504</v>
      </c>
    </row>
    <row r="521" spans="1:13" x14ac:dyDescent="0.35">
      <c r="A521" s="5" t="s">
        <v>17</v>
      </c>
      <c r="B521" s="1">
        <v>80</v>
      </c>
      <c r="C521" s="16">
        <v>1097.8</v>
      </c>
      <c r="D521" s="16">
        <v>87824</v>
      </c>
      <c r="E521" s="16">
        <v>28</v>
      </c>
      <c r="F521" s="16">
        <v>1218.8928571428571</v>
      </c>
      <c r="G521" s="16">
        <v>34129</v>
      </c>
      <c r="H521" s="16">
        <v>11</v>
      </c>
      <c r="I521" s="16">
        <v>1128.4545454545455</v>
      </c>
      <c r="J521" s="16">
        <v>12413</v>
      </c>
      <c r="K521" s="16">
        <v>119</v>
      </c>
      <c r="L521" s="16">
        <v>1129.126050420168</v>
      </c>
      <c r="M521" s="16">
        <v>134366</v>
      </c>
    </row>
    <row r="522" spans="1:13" x14ac:dyDescent="0.35">
      <c r="A522" s="5" t="s">
        <v>11</v>
      </c>
      <c r="B522" s="1">
        <v>106</v>
      </c>
      <c r="C522" s="16">
        <v>1056.2735849056603</v>
      </c>
      <c r="D522" s="16">
        <v>111965</v>
      </c>
      <c r="E522" s="16">
        <v>30</v>
      </c>
      <c r="F522" s="16">
        <v>1007.5666666666667</v>
      </c>
      <c r="G522" s="16">
        <v>30227</v>
      </c>
      <c r="H522" s="16">
        <v>12</v>
      </c>
      <c r="I522" s="16">
        <v>929.91666666666663</v>
      </c>
      <c r="J522" s="16">
        <v>11159</v>
      </c>
      <c r="K522" s="16">
        <v>148</v>
      </c>
      <c r="L522" s="16">
        <v>1036.1554054054054</v>
      </c>
      <c r="M522" s="16">
        <v>153351</v>
      </c>
    </row>
    <row r="523" spans="1:13" x14ac:dyDescent="0.35">
      <c r="A523" s="5" t="s">
        <v>1063</v>
      </c>
      <c r="B523" s="1">
        <v>362</v>
      </c>
      <c r="C523" s="16">
        <v>1084.0552486187846</v>
      </c>
      <c r="D523" s="16">
        <v>392428</v>
      </c>
      <c r="E523" s="16">
        <v>91</v>
      </c>
      <c r="F523" s="16">
        <v>1062.032967032967</v>
      </c>
      <c r="G523" s="16">
        <v>96645</v>
      </c>
      <c r="H523" s="16">
        <v>47</v>
      </c>
      <c r="I523" s="16">
        <v>994.61702127659578</v>
      </c>
      <c r="J523" s="16">
        <v>46747</v>
      </c>
      <c r="K523" s="16">
        <v>500</v>
      </c>
      <c r="L523" s="16">
        <v>1071.6400000000001</v>
      </c>
      <c r="M523" s="16">
        <v>535820</v>
      </c>
    </row>
    <row r="544" ht="15" thickBot="1" x14ac:dyDescent="0.4"/>
    <row r="545" spans="1:4" ht="15" thickBot="1" x14ac:dyDescent="0.4">
      <c r="A545" s="19" t="s">
        <v>1098</v>
      </c>
      <c r="B545" s="20"/>
      <c r="C545" s="20"/>
      <c r="D545" s="21"/>
    </row>
    <row r="546" spans="1:4" x14ac:dyDescent="0.35">
      <c r="A546" s="4" t="s">
        <v>1062</v>
      </c>
      <c r="B546" t="s">
        <v>1097</v>
      </c>
      <c r="C546" t="s">
        <v>1082</v>
      </c>
      <c r="D546" t="s">
        <v>1068</v>
      </c>
    </row>
    <row r="547" spans="1:4" x14ac:dyDescent="0.35">
      <c r="A547" s="5" t="s">
        <v>1092</v>
      </c>
      <c r="B547" s="16">
        <v>32742</v>
      </c>
      <c r="C547" s="16">
        <v>144268</v>
      </c>
      <c r="D547" s="16">
        <v>139</v>
      </c>
    </row>
    <row r="548" spans="1:4" x14ac:dyDescent="0.35">
      <c r="A548" s="5" t="s">
        <v>1093</v>
      </c>
      <c r="B548" s="16">
        <v>24621</v>
      </c>
      <c r="C548" s="16">
        <v>111330</v>
      </c>
      <c r="D548" s="16">
        <v>102</v>
      </c>
    </row>
    <row r="549" spans="1:4" x14ac:dyDescent="0.35">
      <c r="A549" s="5" t="s">
        <v>1094</v>
      </c>
      <c r="B549" s="16">
        <v>27579</v>
      </c>
      <c r="C549" s="16">
        <v>132648</v>
      </c>
      <c r="D549" s="16">
        <v>118</v>
      </c>
    </row>
    <row r="550" spans="1:4" x14ac:dyDescent="0.35">
      <c r="A550" s="5" t="s">
        <v>1095</v>
      </c>
      <c r="B550" s="16">
        <v>29471</v>
      </c>
      <c r="C550" s="16">
        <v>142002</v>
      </c>
      <c r="D550" s="16">
        <v>136</v>
      </c>
    </row>
    <row r="551" spans="1:4" x14ac:dyDescent="0.35">
      <c r="A551" s="5" t="s">
        <v>1096</v>
      </c>
      <c r="B551" s="16">
        <v>727</v>
      </c>
      <c r="C551" s="16">
        <v>5572</v>
      </c>
      <c r="D551" s="16">
        <v>5</v>
      </c>
    </row>
    <row r="552" spans="1:4" x14ac:dyDescent="0.35">
      <c r="A552" s="5" t="s">
        <v>1063</v>
      </c>
      <c r="B552" s="16">
        <v>115140</v>
      </c>
      <c r="C552" s="16">
        <v>535820</v>
      </c>
      <c r="D552" s="16">
        <v>500</v>
      </c>
    </row>
    <row r="572" spans="1:5" ht="15" thickBot="1" x14ac:dyDescent="0.4"/>
    <row r="573" spans="1:5" ht="15" thickBot="1" x14ac:dyDescent="0.4">
      <c r="A573" s="19" t="s">
        <v>1102</v>
      </c>
      <c r="B573" s="20"/>
      <c r="C573" s="20"/>
      <c r="D573" s="20"/>
      <c r="E573" s="21"/>
    </row>
    <row r="574" spans="1:5" x14ac:dyDescent="0.35">
      <c r="A574" s="4" t="s">
        <v>1062</v>
      </c>
      <c r="B574" t="s">
        <v>1100</v>
      </c>
      <c r="C574" t="s">
        <v>1099</v>
      </c>
      <c r="D574" t="s">
        <v>1068</v>
      </c>
      <c r="E574" t="s">
        <v>1101</v>
      </c>
    </row>
    <row r="575" spans="1:5" x14ac:dyDescent="0.35">
      <c r="A575" s="5" t="s">
        <v>42</v>
      </c>
      <c r="B575" s="16">
        <v>1092.4680851063829</v>
      </c>
      <c r="C575" s="16">
        <v>102692</v>
      </c>
      <c r="D575" s="16">
        <v>94</v>
      </c>
      <c r="E575" s="16">
        <v>1947</v>
      </c>
    </row>
    <row r="576" spans="1:5" x14ac:dyDescent="0.35">
      <c r="A576" s="5" t="s">
        <v>33</v>
      </c>
      <c r="B576" s="16">
        <v>1059.7128712871288</v>
      </c>
      <c r="C576" s="16">
        <v>107031</v>
      </c>
      <c r="D576" s="16">
        <v>101</v>
      </c>
      <c r="E576" s="16">
        <v>1985</v>
      </c>
    </row>
    <row r="577" spans="1:5" x14ac:dyDescent="0.35">
      <c r="A577" s="5" t="s">
        <v>23</v>
      </c>
      <c r="B577" s="16">
        <v>967.8089887640449</v>
      </c>
      <c r="C577" s="16">
        <v>86135</v>
      </c>
      <c r="D577" s="16">
        <v>89</v>
      </c>
      <c r="E577" s="16">
        <v>1973</v>
      </c>
    </row>
    <row r="578" spans="1:5" x14ac:dyDescent="0.35">
      <c r="A578" s="5" t="s">
        <v>18</v>
      </c>
      <c r="B578" s="16">
        <v>1155.2407407407406</v>
      </c>
      <c r="C578" s="16">
        <v>124766</v>
      </c>
      <c r="D578" s="16">
        <v>108</v>
      </c>
      <c r="E578" s="16">
        <v>1990</v>
      </c>
    </row>
    <row r="579" spans="1:5" x14ac:dyDescent="0.35">
      <c r="A579" s="5" t="s">
        <v>14</v>
      </c>
      <c r="B579" s="16">
        <v>1066.6296296296296</v>
      </c>
      <c r="C579" s="16">
        <v>115196</v>
      </c>
      <c r="D579" s="16">
        <v>108</v>
      </c>
      <c r="E579" s="16">
        <v>1946</v>
      </c>
    </row>
    <row r="580" spans="1:5" x14ac:dyDescent="0.35">
      <c r="A580" s="5" t="s">
        <v>1063</v>
      </c>
      <c r="B580" s="16">
        <v>1071.6400000000001</v>
      </c>
      <c r="C580" s="16">
        <v>535820</v>
      </c>
      <c r="D580" s="16">
        <v>500</v>
      </c>
      <c r="E580" s="16">
        <v>1990</v>
      </c>
    </row>
  </sheetData>
  <mergeCells count="4">
    <mergeCell ref="A503:M503"/>
    <mergeCell ref="A515:M515"/>
    <mergeCell ref="A545:D545"/>
    <mergeCell ref="A573:E573"/>
  </mergeCells>
  <pageMargins left="0.7" right="0.7" top="0.75" bottom="0.75" header="0.3" footer="0.3"/>
  <drawing r:id="rId5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1AD8BE-04B1-40CB-BF47-B533B7CCE2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Refunds Compliance Dashboard</vt:lpstr>
      <vt:lpstr>ADM_History</vt:lpstr>
      <vt:lpstr>Bank_Receipts</vt:lpstr>
      <vt:lpstr>Fare_Rules</vt:lpstr>
      <vt:lpstr>Refunds</vt:lpstr>
      <vt:lpstr>Tickets_Sold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superadmin</dc:creator>
  <cp:lastModifiedBy>superadmin</cp:lastModifiedBy>
  <dcterms:created xsi:type="dcterms:W3CDTF">2015-06-05T18:17:20Z</dcterms:created>
  <dcterms:modified xsi:type="dcterms:W3CDTF">2025-12-07T18:49:26Z</dcterms:modified>
</cp:coreProperties>
</file>